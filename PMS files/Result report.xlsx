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5" yWindow="375" windowWidth="20730" windowHeight="8745"/>
  </bookViews>
  <sheets>
    <sheet name="April BO" sheetId="4" r:id="rId1"/>
    <sheet name="Sheet1" sheetId="1" r:id="rId2"/>
    <sheet name="Sheet2" sheetId="2" r:id="rId3"/>
    <sheet name="Sheet3" sheetId="3" r:id="rId4"/>
  </sheets>
  <definedNames>
    <definedName name="_xlnm.Print_Area" localSheetId="0">'April BO'!#REF!</definedName>
  </definedNames>
  <calcPr calcId="145621"/>
</workbook>
</file>

<file path=xl/calcChain.xml><?xml version="1.0" encoding="utf-8"?>
<calcChain xmlns="http://schemas.openxmlformats.org/spreadsheetml/2006/main">
  <c r="T23" i="4" l="1"/>
  <c r="S23" i="4"/>
  <c r="Q23" i="4"/>
  <c r="O23" i="4"/>
  <c r="I23" i="4"/>
  <c r="H23" i="4"/>
  <c r="F23" i="4"/>
  <c r="D23" i="4"/>
  <c r="W22" i="4"/>
  <c r="P22" i="4"/>
  <c r="R22" i="4" s="1"/>
  <c r="L22" i="4"/>
  <c r="E22" i="4"/>
  <c r="G22" i="4" s="1"/>
  <c r="W21" i="4"/>
  <c r="P21" i="4"/>
  <c r="R21" i="4" s="1"/>
  <c r="V21" i="4" s="1"/>
  <c r="L21" i="4"/>
  <c r="E21" i="4"/>
  <c r="G21" i="4" s="1"/>
  <c r="W20" i="4"/>
  <c r="P20" i="4"/>
  <c r="R20" i="4" s="1"/>
  <c r="L20" i="4"/>
  <c r="E20" i="4"/>
  <c r="G20" i="4" s="1"/>
  <c r="K20" i="4" s="1"/>
  <c r="W19" i="4"/>
  <c r="P19" i="4"/>
  <c r="R19" i="4" s="1"/>
  <c r="V19" i="4" s="1"/>
  <c r="L19" i="4"/>
  <c r="E19" i="4"/>
  <c r="G19" i="4" s="1"/>
  <c r="J19" i="4" s="1"/>
  <c r="W18" i="4"/>
  <c r="P18" i="4"/>
  <c r="R18" i="4" s="1"/>
  <c r="V18" i="4" s="1"/>
  <c r="L18" i="4"/>
  <c r="E18" i="4"/>
  <c r="G18" i="4" s="1"/>
  <c r="W17" i="4"/>
  <c r="P17" i="4"/>
  <c r="R17" i="4" s="1"/>
  <c r="U17" i="4" s="1"/>
  <c r="L17" i="4"/>
  <c r="E17" i="4"/>
  <c r="G17" i="4" s="1"/>
  <c r="W16" i="4"/>
  <c r="P16" i="4"/>
  <c r="L16" i="4"/>
  <c r="E16" i="4"/>
  <c r="G16" i="4" s="1"/>
  <c r="K16" i="4" s="1"/>
  <c r="T12" i="4"/>
  <c r="T25" i="4" s="1"/>
  <c r="S12" i="4"/>
  <c r="S25" i="4" s="1"/>
  <c r="Q12" i="4"/>
  <c r="Q25" i="4" s="1"/>
  <c r="O12" i="4"/>
  <c r="O25" i="4" s="1"/>
  <c r="I12" i="4"/>
  <c r="H12" i="4"/>
  <c r="F12" i="4"/>
  <c r="D12" i="4"/>
  <c r="W11" i="4"/>
  <c r="P11" i="4"/>
  <c r="R11" i="4" s="1"/>
  <c r="L11" i="4"/>
  <c r="E11" i="4"/>
  <c r="G11" i="4" s="1"/>
  <c r="W10" i="4"/>
  <c r="P10" i="4"/>
  <c r="R10" i="4" s="1"/>
  <c r="V10" i="4" s="1"/>
  <c r="L10" i="4"/>
  <c r="E10" i="4"/>
  <c r="G10" i="4" s="1"/>
  <c r="W9" i="4"/>
  <c r="P9" i="4"/>
  <c r="R9" i="4" s="1"/>
  <c r="L9" i="4"/>
  <c r="E9" i="4"/>
  <c r="G9" i="4" s="1"/>
  <c r="W8" i="4"/>
  <c r="P8" i="4"/>
  <c r="R8" i="4" s="1"/>
  <c r="L8" i="4"/>
  <c r="E8" i="4"/>
  <c r="G8" i="4" s="1"/>
  <c r="J8" i="4" s="1"/>
  <c r="W7" i="4"/>
  <c r="P7" i="4"/>
  <c r="R7" i="4" s="1"/>
  <c r="L7" i="4"/>
  <c r="E7" i="4"/>
  <c r="G7" i="4" s="1"/>
  <c r="W6" i="4"/>
  <c r="P6" i="4"/>
  <c r="R6" i="4" s="1"/>
  <c r="V6" i="4" s="1"/>
  <c r="L6" i="4"/>
  <c r="E6" i="4"/>
  <c r="W5" i="4"/>
  <c r="P5" i="4"/>
  <c r="L5" i="4"/>
  <c r="E5" i="4"/>
  <c r="G5" i="4" s="1"/>
  <c r="J5" i="4" s="1"/>
  <c r="D25" i="4" l="1"/>
  <c r="F25" i="4"/>
  <c r="H25" i="4"/>
  <c r="K9" i="4"/>
  <c r="J9" i="4"/>
  <c r="K11" i="4"/>
  <c r="J11" i="4"/>
  <c r="L23" i="4"/>
  <c r="U21" i="4"/>
  <c r="P12" i="4"/>
  <c r="W12" i="4"/>
  <c r="E12" i="4"/>
  <c r="I25" i="4"/>
  <c r="V8" i="4"/>
  <c r="U8" i="4"/>
  <c r="J10" i="4"/>
  <c r="K10" i="4"/>
  <c r="K22" i="4"/>
  <c r="J22" i="4"/>
  <c r="K7" i="4"/>
  <c r="J7" i="4"/>
  <c r="K21" i="4"/>
  <c r="J21" i="4"/>
  <c r="J17" i="4"/>
  <c r="K17" i="4"/>
  <c r="K23" i="4" s="1"/>
  <c r="V11" i="4"/>
  <c r="U11" i="4"/>
  <c r="V22" i="4"/>
  <c r="U22" i="4"/>
  <c r="U7" i="4"/>
  <c r="V7" i="4"/>
  <c r="K18" i="4"/>
  <c r="J18" i="4"/>
  <c r="V9" i="4"/>
  <c r="U9" i="4"/>
  <c r="V20" i="4"/>
  <c r="U20" i="4"/>
  <c r="R5" i="4"/>
  <c r="P23" i="4"/>
  <c r="R16" i="4"/>
  <c r="U19" i="4"/>
  <c r="V17" i="4"/>
  <c r="U10" i="4"/>
  <c r="K19" i="4"/>
  <c r="J20" i="4"/>
  <c r="U6" i="4"/>
  <c r="U18" i="4"/>
  <c r="W23" i="4"/>
  <c r="E23" i="4"/>
  <c r="E25" i="4" s="1"/>
  <c r="G6" i="4"/>
  <c r="G23" i="4"/>
  <c r="J23" i="4" s="1"/>
  <c r="K5" i="4"/>
  <c r="K8" i="4"/>
  <c r="J16" i="4"/>
  <c r="L12" i="4"/>
  <c r="L25" i="4" l="1"/>
  <c r="P25" i="4"/>
  <c r="W25" i="4"/>
  <c r="V16" i="4"/>
  <c r="V23" i="4" s="1"/>
  <c r="U16" i="4"/>
  <c r="R23" i="4"/>
  <c r="V5" i="4"/>
  <c r="V12" i="4" s="1"/>
  <c r="U5" i="4"/>
  <c r="R12" i="4"/>
  <c r="J6" i="4"/>
  <c r="G12" i="4"/>
  <c r="K6" i="4"/>
  <c r="K12" i="4" s="1"/>
  <c r="K25" i="4" s="1"/>
  <c r="G25" i="4" l="1"/>
  <c r="J25" i="4" s="1"/>
  <c r="J12" i="4"/>
  <c r="R25" i="4"/>
  <c r="U12" i="4"/>
  <c r="U23" i="4" s="1"/>
  <c r="V25" i="4"/>
  <c r="U25" i="4" l="1"/>
</calcChain>
</file>

<file path=xl/sharedStrings.xml><?xml version="1.0" encoding="utf-8"?>
<sst xmlns="http://schemas.openxmlformats.org/spreadsheetml/2006/main" count="96" uniqueCount="41">
  <si>
    <t>Spare &amp; Labour Sale As On 28-July-2026 (Maharashtra)</t>
  </si>
  <si>
    <t xml:space="preserve">SPARE </t>
  </si>
  <si>
    <t>LABOUR</t>
  </si>
  <si>
    <t>Responsible Person</t>
  </si>
  <si>
    <t>Branch</t>
  </si>
  <si>
    <t>Monthly Target</t>
  </si>
  <si>
    <t>Daily Target</t>
  </si>
  <si>
    <t>Achi. On 28-July</t>
  </si>
  <si>
    <t>Target Till 28-July</t>
  </si>
  <si>
    <t>Achi. Till 28-July</t>
  </si>
  <si>
    <t>Invoice Count Till 28-07</t>
  </si>
  <si>
    <t>% Achieved Till Date</t>
  </si>
  <si>
    <t>Short-Fall Till Date</t>
  </si>
  <si>
    <t>Balance For Month</t>
  </si>
  <si>
    <t>Hemant Nelge</t>
  </si>
  <si>
    <t>420435_1
Aurangabad</t>
  </si>
  <si>
    <t>Anil Sonawane</t>
  </si>
  <si>
    <t>420435_2
Ahmednagar</t>
  </si>
  <si>
    <t>Rajaram Rathod</t>
  </si>
  <si>
    <t>420435_3
Beed</t>
  </si>
  <si>
    <t>Atmaram Rajegore</t>
  </si>
  <si>
    <t>420435_4
Nanded</t>
  </si>
  <si>
    <t>420435_5
Babhleshwar</t>
  </si>
  <si>
    <t>Suraj Ghangaokar</t>
  </si>
  <si>
    <t>420435_6
Latur</t>
  </si>
  <si>
    <t>420435_7
Parbhani</t>
  </si>
  <si>
    <t>Sub Total</t>
  </si>
  <si>
    <t>Total</t>
  </si>
  <si>
    <t>Spare &amp; Labour Sale As On 28-July-2026 (Karnataka)</t>
  </si>
  <si>
    <t>Pankaj Nalawade</t>
  </si>
  <si>
    <t>420435_8
Hubali</t>
  </si>
  <si>
    <t>420435_9
Belgaum</t>
  </si>
  <si>
    <t>Afreen MS</t>
  </si>
  <si>
    <t>420435_10
Hospet</t>
  </si>
  <si>
    <t>420435_11
Ballari</t>
  </si>
  <si>
    <t>Akif Sandimani</t>
  </si>
  <si>
    <t>420435_12
Bagalkot</t>
  </si>
  <si>
    <t>Raghvendra Kulkarni</t>
  </si>
  <si>
    <t>420435_13
Gulbarga</t>
  </si>
  <si>
    <t>Sudha Murthy</t>
  </si>
  <si>
    <t>420435_14
Bijapur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</si>
</sst>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 * #,##0.00_ ;_ * \-#,##0.00_ ;_ * &quot;-&quot;??_ ;_ @_ "/>
    <numFmt numFmtId="164" formatCode="_ * #,##0_ ;_ * \-#,##0_ ;_ * &quot;-&quot;??_ ;_ @_ "/>
    <numFmt numFmtId="165" formatCode="_(* #,##0.00_);_(* \(#,##0.00\);_(* &quot;-&quot;??_);_(@_)"/>
    <numFmt numFmtId="166" formatCode="_ &quot;Rs.&quot;\ * #,##0.00_ ;_ &quot;Rs.&quot;\ * \-#,##0.00_ ;_ &quot;Rs.&quot;\ * &quot;-&quot;??_ ;_ @_ 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1"/>
      <color indexed="8"/>
      <name val="Calibri"/>
      <family val="2"/>
      <charset val="1"/>
    </font>
    <font>
      <sz val="11"/>
      <color indexed="8"/>
      <name val="Calibri"/>
      <family val="2"/>
    </font>
    <font>
      <u/>
      <sz val="10"/>
      <color theme="10"/>
      <name val="Arial"/>
      <family val="2"/>
    </font>
    <font>
      <sz val="12"/>
      <name val="Times New Roman"/>
      <family val="1"/>
    </font>
    <font>
      <sz val="10"/>
      <color rgb="FF000000"/>
      <name val="Arial"/>
      <family val="2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8"/>
      <color theme="3"/>
      <name val="Cambria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9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1" fillId="0" borderId="0"/>
    <xf numFmtId="0" fontId="10" fillId="0" borderId="0"/>
    <xf numFmtId="0" fontId="11" fillId="0" borderId="0"/>
    <xf numFmtId="0" fontId="12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4" fillId="0" borderId="0" applyNumberFormat="0" applyFill="0" applyBorder="0" applyAlignment="0" applyProtection="0"/>
  </cellStyleXfs>
  <cellXfs count="80">
    <xf numFmtId="0" fontId="0" fillId="0" borderId="0" xfId="0"/>
    <xf numFmtId="16" fontId="0" fillId="0" borderId="0" xfId="0" applyNumberFormat="1"/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vertical="center" wrapText="1"/>
    </xf>
    <xf numFmtId="0" fontId="3" fillId="0" borderId="10" xfId="0" applyFont="1" applyBorder="1" applyAlignment="1">
      <alignment wrapText="1"/>
    </xf>
    <xf numFmtId="43" fontId="3" fillId="0" borderId="10" xfId="1" applyNumberFormat="1" applyFont="1" applyFill="1" applyBorder="1" applyAlignment="1">
      <alignment horizontal="center" vertical="center"/>
    </xf>
    <xf numFmtId="43" fontId="3" fillId="0" borderId="10" xfId="1" applyNumberFormat="1" applyFont="1" applyBorder="1" applyAlignment="1">
      <alignment horizontal="center" vertical="center"/>
    </xf>
    <xf numFmtId="43" fontId="3" fillId="0" borderId="10" xfId="1" applyFont="1" applyBorder="1" applyAlignment="1">
      <alignment vertical="center"/>
    </xf>
    <xf numFmtId="43" fontId="3" fillId="0" borderId="10" xfId="1" applyFont="1" applyBorder="1" applyAlignment="1">
      <alignment horizontal="center" vertical="center"/>
    </xf>
    <xf numFmtId="1" fontId="3" fillId="0" borderId="10" xfId="1" applyNumberFormat="1" applyFont="1" applyBorder="1" applyAlignment="1">
      <alignment horizontal="center" vertical="center"/>
    </xf>
    <xf numFmtId="10" fontId="2" fillId="0" borderId="10" xfId="1" applyNumberFormat="1" applyFont="1" applyBorder="1" applyAlignment="1" applyProtection="1">
      <alignment horizontal="center" vertical="center"/>
      <protection hidden="1"/>
    </xf>
    <xf numFmtId="43" fontId="3" fillId="0" borderId="11" xfId="1" applyFont="1" applyBorder="1" applyAlignment="1">
      <alignment horizontal="center" vertical="center"/>
    </xf>
    <xf numFmtId="0" fontId="3" fillId="0" borderId="9" xfId="0" applyFont="1" applyBorder="1" applyAlignment="1">
      <alignment vertical="center" wrapText="1"/>
    </xf>
    <xf numFmtId="43" fontId="3" fillId="0" borderId="10" xfId="1" applyFont="1" applyFill="1" applyBorder="1" applyAlignment="1">
      <alignment vertical="center"/>
    </xf>
    <xf numFmtId="43" fontId="0" fillId="0" borderId="0" xfId="0" applyNumberFormat="1"/>
    <xf numFmtId="0" fontId="2" fillId="0" borderId="12" xfId="0" applyFont="1" applyBorder="1" applyAlignment="1">
      <alignment vertical="center" wrapText="1"/>
    </xf>
    <xf numFmtId="0" fontId="3" fillId="0" borderId="13" xfId="0" applyFont="1" applyBorder="1" applyAlignment="1">
      <alignment wrapText="1"/>
    </xf>
    <xf numFmtId="43" fontId="3" fillId="0" borderId="13" xfId="1" applyNumberFormat="1" applyFont="1" applyFill="1" applyBorder="1" applyAlignment="1">
      <alignment horizontal="center" vertical="center"/>
    </xf>
    <xf numFmtId="43" fontId="3" fillId="0" borderId="13" xfId="1" applyFont="1" applyBorder="1" applyAlignment="1">
      <alignment vertical="center"/>
    </xf>
    <xf numFmtId="1" fontId="3" fillId="0" borderId="13" xfId="1" applyNumberFormat="1" applyFont="1" applyBorder="1" applyAlignment="1">
      <alignment horizontal="center" vertical="center"/>
    </xf>
    <xf numFmtId="10" fontId="2" fillId="0" borderId="13" xfId="1" applyNumberFormat="1" applyFont="1" applyBorder="1" applyAlignment="1" applyProtection="1">
      <alignment horizontal="center" vertical="center"/>
      <protection hidden="1"/>
    </xf>
    <xf numFmtId="43" fontId="3" fillId="0" borderId="13" xfId="1" applyFont="1" applyBorder="1" applyAlignment="1">
      <alignment horizontal="center" vertical="center"/>
    </xf>
    <xf numFmtId="43" fontId="3" fillId="0" borderId="14" xfId="1" applyFont="1" applyBorder="1" applyAlignment="1">
      <alignment horizontal="center" vertical="center"/>
    </xf>
    <xf numFmtId="0" fontId="3" fillId="0" borderId="12" xfId="0" applyFont="1" applyBorder="1" applyAlignment="1">
      <alignment vertical="center" wrapText="1"/>
    </xf>
    <xf numFmtId="43" fontId="3" fillId="0" borderId="13" xfId="1" applyFont="1" applyFill="1" applyBorder="1" applyAlignment="1">
      <alignment vertical="center"/>
    </xf>
    <xf numFmtId="0" fontId="2" fillId="0" borderId="15" xfId="0" applyFont="1" applyBorder="1" applyAlignment="1">
      <alignment vertical="center" wrapText="1"/>
    </xf>
    <xf numFmtId="0" fontId="3" fillId="0" borderId="16" xfId="0" applyFont="1" applyBorder="1" applyAlignment="1">
      <alignment wrapText="1"/>
    </xf>
    <xf numFmtId="43" fontId="3" fillId="0" borderId="16" xfId="1" applyNumberFormat="1" applyFont="1" applyFill="1" applyBorder="1" applyAlignment="1">
      <alignment horizontal="center" vertical="center"/>
    </xf>
    <xf numFmtId="43" fontId="3" fillId="0" borderId="16" xfId="1" applyFont="1" applyBorder="1" applyAlignment="1">
      <alignment vertical="center"/>
    </xf>
    <xf numFmtId="1" fontId="3" fillId="0" borderId="16" xfId="1" applyNumberFormat="1" applyFont="1" applyBorder="1" applyAlignment="1">
      <alignment horizontal="center" vertical="center"/>
    </xf>
    <xf numFmtId="10" fontId="2" fillId="0" borderId="16" xfId="1" applyNumberFormat="1" applyFont="1" applyBorder="1" applyAlignment="1" applyProtection="1">
      <alignment horizontal="center" vertical="center"/>
      <protection hidden="1"/>
    </xf>
    <xf numFmtId="43" fontId="3" fillId="0" borderId="16" xfId="1" applyFont="1" applyBorder="1" applyAlignment="1">
      <alignment horizontal="center" vertical="center"/>
    </xf>
    <xf numFmtId="43" fontId="3" fillId="0" borderId="17" xfId="1" applyFont="1" applyBorder="1" applyAlignment="1">
      <alignment horizontal="center" vertical="center"/>
    </xf>
    <xf numFmtId="0" fontId="3" fillId="0" borderId="15" xfId="0" applyFont="1" applyBorder="1" applyAlignment="1">
      <alignment vertical="center" wrapText="1"/>
    </xf>
    <xf numFmtId="43" fontId="3" fillId="0" borderId="16" xfId="1" applyFont="1" applyFill="1" applyBorder="1" applyAlignment="1">
      <alignment vertic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43" fontId="2" fillId="2" borderId="19" xfId="1" applyFont="1" applyFill="1" applyBorder="1"/>
    <xf numFmtId="43" fontId="2" fillId="2" borderId="6" xfId="1" applyFont="1" applyFill="1" applyBorder="1"/>
    <xf numFmtId="1" fontId="2" fillId="2" borderId="6" xfId="1" applyNumberFormat="1" applyFont="1" applyFill="1" applyBorder="1" applyAlignment="1">
      <alignment horizontal="center"/>
    </xf>
    <xf numFmtId="9" fontId="2" fillId="2" borderId="6" xfId="2" applyFont="1" applyFill="1" applyBorder="1" applyAlignment="1">
      <alignment horizontal="center"/>
    </xf>
    <xf numFmtId="43" fontId="2" fillId="2" borderId="7" xfId="1" applyFont="1" applyFill="1" applyBorder="1"/>
    <xf numFmtId="0" fontId="3" fillId="0" borderId="20" xfId="0" applyFont="1" applyBorder="1" applyAlignment="1"/>
    <xf numFmtId="0" fontId="2" fillId="2" borderId="5" xfId="0" applyFont="1" applyFill="1" applyBorder="1"/>
    <xf numFmtId="9" fontId="2" fillId="2" borderId="6" xfId="2" applyFont="1" applyFill="1" applyBorder="1"/>
    <xf numFmtId="0" fontId="2" fillId="2" borderId="21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3" fillId="0" borderId="9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3" fillId="0" borderId="15" xfId="0" applyFont="1" applyBorder="1" applyAlignment="1">
      <alignment wrapText="1"/>
    </xf>
    <xf numFmtId="0" fontId="3" fillId="0" borderId="24" xfId="0" applyFont="1" applyBorder="1" applyAlignment="1"/>
    <xf numFmtId="43" fontId="4" fillId="4" borderId="25" xfId="1" applyFont="1" applyFill="1" applyBorder="1" applyAlignment="1"/>
    <xf numFmtId="164" fontId="4" fillId="4" borderId="26" xfId="1" applyNumberFormat="1" applyFont="1" applyFill="1" applyBorder="1" applyAlignment="1">
      <alignment horizontal="center"/>
    </xf>
    <xf numFmtId="10" fontId="4" fillId="4" borderId="26" xfId="2" applyNumberFormat="1" applyFont="1" applyFill="1" applyBorder="1" applyAlignment="1">
      <alignment horizontal="center"/>
    </xf>
    <xf numFmtId="0" fontId="5" fillId="4" borderId="18" xfId="0" applyFont="1" applyFill="1" applyBorder="1" applyAlignment="1"/>
    <xf numFmtId="0" fontId="4" fillId="4" borderId="27" xfId="0" applyFont="1" applyFill="1" applyBorder="1"/>
    <xf numFmtId="164" fontId="4" fillId="4" borderId="26" xfId="1" applyNumberFormat="1" applyFont="1" applyFill="1" applyBorder="1"/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64" fontId="4" fillId="4" borderId="1" xfId="1" applyNumberFormat="1" applyFont="1" applyFill="1" applyBorder="1" applyAlignment="1">
      <alignment horizontal="center"/>
    </xf>
    <xf numFmtId="164" fontId="4" fillId="4" borderId="3" xfId="1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2" fillId="5" borderId="6" xfId="0" applyFont="1" applyFill="1" applyBorder="1" applyAlignment="1">
      <alignment horizontal="center" vertical="center" wrapText="1"/>
    </xf>
  </cellXfs>
  <cellStyles count="29">
    <cellStyle name="Comma" xfId="1" builtinId="3"/>
    <cellStyle name="Comma 2" xfId="3"/>
    <cellStyle name="Comma 2 2" xfId="4"/>
    <cellStyle name="Comma 3" xfId="5"/>
    <cellStyle name="Comma 4" xfId="6"/>
    <cellStyle name="Comma 5" xfId="7"/>
    <cellStyle name="Comma 5 2" xfId="8"/>
    <cellStyle name="Currency 2" xfId="9"/>
    <cellStyle name="Excel Built-in Normal" xfId="10"/>
    <cellStyle name="Excel Built-in Normal 1" xfId="11"/>
    <cellStyle name="Excel Built-in Normal 1 10" xfId="12"/>
    <cellStyle name="Excel Built-in Normal 1 2" xfId="13"/>
    <cellStyle name="Excel Built-in Normal 1 3" xfId="14"/>
    <cellStyle name="Excel Built-in Normal 2" xfId="15"/>
    <cellStyle name="Hyperlink 2" xfId="16"/>
    <cellStyle name="Normal" xfId="0" builtinId="0"/>
    <cellStyle name="Normal 2" xfId="17"/>
    <cellStyle name="Normal 2 2" xfId="18"/>
    <cellStyle name="Normal 3" xfId="19"/>
    <cellStyle name="Normal 4" xfId="20"/>
    <cellStyle name="Normal 5" xfId="21"/>
    <cellStyle name="Normal 6" xfId="22"/>
    <cellStyle name="Normal 7" xfId="23"/>
    <cellStyle name="Normal 7 2" xfId="24"/>
    <cellStyle name="Normal 8" xfId="25"/>
    <cellStyle name="Normal 8 2" xfId="26"/>
    <cellStyle name="Normal 9" xfId="27"/>
    <cellStyle name="Percent" xfId="2" builtinId="5"/>
    <cellStyle name="Title 2" xfId="28"/>
  </cellStyles>
  <dxfs count="6">
    <dxf>
      <fill>
        <patternFill>
          <bgColor rgb="FF37F418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37F418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25"/>
  <sheetViews>
    <sheetView tabSelected="1" zoomScale="90" zoomScaleNormal="90" workbookViewId="0">
      <selection activeCell="L5" sqref="L5"/>
    </sheetView>
  </sheetViews>
  <sheetFormatPr defaultRowHeight="15" x14ac:dyDescent="0.25"/>
  <cols>
    <col min="1" max="1" width="4.85546875" customWidth="1"/>
    <col min="2" max="2" width="13.140625" customWidth="1"/>
    <col min="3" max="3" width="13.140625" bestFit="1" customWidth="1"/>
    <col min="4" max="4" width="9.28515625" bestFit="1" customWidth="1"/>
    <col min="5" max="5" width="7.7109375" bestFit="1" customWidth="1"/>
    <col min="6" max="6" width="9" bestFit="1" customWidth="1"/>
    <col min="7" max="7" width="10.28515625" bestFit="1" customWidth="1"/>
    <col min="8" max="8" width="8.85546875" bestFit="1" customWidth="1"/>
    <col min="9" max="9" width="9.7109375" bestFit="1" customWidth="1"/>
    <col min="10" max="10" width="11.85546875" bestFit="1" customWidth="1"/>
    <col min="11" max="11" width="9.85546875" bestFit="1" customWidth="1"/>
    <col min="12" max="12" width="11" customWidth="1"/>
    <col min="13" max="13" width="2.7109375" customWidth="1"/>
    <col min="14" max="14" width="12.85546875" customWidth="1"/>
    <col min="15" max="15" width="8.85546875" bestFit="1" customWidth="1"/>
    <col min="16" max="16" width="8.140625" customWidth="1"/>
    <col min="17" max="17" width="8.7109375" bestFit="1" customWidth="1"/>
    <col min="18" max="18" width="10.28515625" bestFit="1" customWidth="1"/>
    <col min="19" max="19" width="8.85546875" bestFit="1" customWidth="1"/>
    <col min="20" max="20" width="10" bestFit="1" customWidth="1"/>
    <col min="21" max="21" width="11.85546875" bestFit="1" customWidth="1"/>
    <col min="22" max="22" width="9.85546875" bestFit="1" customWidth="1"/>
    <col min="23" max="23" width="11.7109375" customWidth="1"/>
  </cols>
  <sheetData>
    <row r="1" spans="2:24" ht="15.75" thickBot="1" x14ac:dyDescent="0.3">
      <c r="H1" s="1"/>
    </row>
    <row r="2" spans="2:24" ht="19.899999999999999" customHeight="1" thickBot="1" x14ac:dyDescent="0.3">
      <c r="B2" s="70" t="s">
        <v>0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2"/>
    </row>
    <row r="3" spans="2:24" ht="16.5" thickBot="1" x14ac:dyDescent="0.3">
      <c r="B3" s="73" t="s">
        <v>1</v>
      </c>
      <c r="C3" s="74"/>
      <c r="D3" s="74"/>
      <c r="E3" s="74"/>
      <c r="F3" s="74"/>
      <c r="G3" s="74"/>
      <c r="H3" s="74"/>
      <c r="I3" s="74"/>
      <c r="J3" s="74"/>
      <c r="K3" s="74"/>
      <c r="L3" s="75"/>
      <c r="M3" s="76"/>
      <c r="N3" s="73" t="s">
        <v>2</v>
      </c>
      <c r="O3" s="74"/>
      <c r="P3" s="74"/>
      <c r="Q3" s="74"/>
      <c r="R3" s="74"/>
      <c r="S3" s="74"/>
      <c r="T3" s="74"/>
      <c r="U3" s="74"/>
      <c r="V3" s="74"/>
      <c r="W3" s="75"/>
    </row>
    <row r="4" spans="2:24" ht="48" thickBot="1" x14ac:dyDescent="0.3">
      <c r="B4" s="2" t="s">
        <v>3</v>
      </c>
      <c r="C4" s="3" t="s">
        <v>4</v>
      </c>
      <c r="D4" s="3" t="s">
        <v>5</v>
      </c>
      <c r="E4" s="3" t="s">
        <v>6</v>
      </c>
      <c r="F4" s="79" t="s">
        <v>7</v>
      </c>
      <c r="G4" s="3" t="s">
        <v>8</v>
      </c>
      <c r="H4" s="79" t="s">
        <v>9</v>
      </c>
      <c r="I4" s="79" t="s">
        <v>10</v>
      </c>
      <c r="J4" s="3" t="s">
        <v>11</v>
      </c>
      <c r="K4" s="3" t="s">
        <v>12</v>
      </c>
      <c r="L4" s="4" t="s">
        <v>13</v>
      </c>
      <c r="M4" s="77"/>
      <c r="N4" s="2" t="s">
        <v>4</v>
      </c>
      <c r="O4" s="3" t="s">
        <v>5</v>
      </c>
      <c r="P4" s="3" t="s">
        <v>6</v>
      </c>
      <c r="Q4" s="3" t="s">
        <v>7</v>
      </c>
      <c r="R4" s="3" t="s">
        <v>8</v>
      </c>
      <c r="S4" s="3" t="s">
        <v>9</v>
      </c>
      <c r="T4" s="3" t="s">
        <v>10</v>
      </c>
      <c r="U4" s="3" t="s">
        <v>11</v>
      </c>
      <c r="V4" s="3" t="s">
        <v>12</v>
      </c>
      <c r="W4" s="4" t="s">
        <v>13</v>
      </c>
    </row>
    <row r="5" spans="2:24" ht="33.6" customHeight="1" x14ac:dyDescent="0.25">
      <c r="B5" s="5" t="s">
        <v>14</v>
      </c>
      <c r="C5" s="6" t="s">
        <v>15</v>
      </c>
      <c r="D5" s="7">
        <v>23</v>
      </c>
      <c r="E5" s="8">
        <f>D5/27</f>
        <v>0.85185185185185186</v>
      </c>
      <c r="F5" s="9">
        <v>0.78822729999999996</v>
      </c>
      <c r="G5" s="10">
        <f>E5*24</f>
        <v>20.444444444444443</v>
      </c>
      <c r="H5" s="9">
        <v>24.758423645200004</v>
      </c>
      <c r="I5" s="11">
        <v>219</v>
      </c>
      <c r="J5" s="12">
        <f>H5/G5</f>
        <v>1.2110098522108699</v>
      </c>
      <c r="K5" s="10">
        <f>G5-H5</f>
        <v>-4.3139792007555613</v>
      </c>
      <c r="L5" s="13">
        <f>D5-H5</f>
        <v>-1.7584236452000042</v>
      </c>
      <c r="M5" s="77"/>
      <c r="N5" s="14" t="s">
        <v>15</v>
      </c>
      <c r="O5" s="15">
        <v>5</v>
      </c>
      <c r="P5" s="8">
        <f t="shared" ref="P5:P11" si="0">O5/27</f>
        <v>0.18518518518518517</v>
      </c>
      <c r="Q5" s="8">
        <v>0.12737088999999999</v>
      </c>
      <c r="R5" s="10">
        <f t="shared" ref="R5:R11" si="1">P5*24</f>
        <v>4.4444444444444446</v>
      </c>
      <c r="S5" s="9">
        <v>3.56245967</v>
      </c>
      <c r="T5" s="11">
        <v>276</v>
      </c>
      <c r="U5" s="12">
        <f>S5/R5</f>
        <v>0.80155342574999999</v>
      </c>
      <c r="V5" s="10">
        <f>R5-S5</f>
        <v>0.88198477444444467</v>
      </c>
      <c r="W5" s="13">
        <f>O5-S5</f>
        <v>1.43754033</v>
      </c>
      <c r="X5" s="16"/>
    </row>
    <row r="6" spans="2:24" ht="33.6" customHeight="1" x14ac:dyDescent="0.25">
      <c r="B6" s="17" t="s">
        <v>16</v>
      </c>
      <c r="C6" s="18" t="s">
        <v>17</v>
      </c>
      <c r="D6" s="19">
        <v>22</v>
      </c>
      <c r="E6" s="8">
        <f>D6/27</f>
        <v>0.81481481481481477</v>
      </c>
      <c r="F6" s="20">
        <v>1.6869582239999992</v>
      </c>
      <c r="G6" s="10">
        <f t="shared" ref="G6:G11" si="2">E6*24</f>
        <v>19.555555555555554</v>
      </c>
      <c r="H6" s="20">
        <v>16.818948035399998</v>
      </c>
      <c r="I6" s="21">
        <v>150</v>
      </c>
      <c r="J6" s="22">
        <f t="shared" ref="J6:J11" si="3">H6/G6</f>
        <v>0.86005984271931823</v>
      </c>
      <c r="K6" s="23">
        <f>G6-H6</f>
        <v>2.7366075201555553</v>
      </c>
      <c r="L6" s="24">
        <f>D6-H6</f>
        <v>5.1810519646000017</v>
      </c>
      <c r="M6" s="77"/>
      <c r="N6" s="25" t="s">
        <v>17</v>
      </c>
      <c r="O6" s="26">
        <v>4</v>
      </c>
      <c r="P6" s="8">
        <f t="shared" si="0"/>
        <v>0.14814814814814814</v>
      </c>
      <c r="Q6" s="8">
        <v>6.5500000000000003E-2</v>
      </c>
      <c r="R6" s="10">
        <f t="shared" si="1"/>
        <v>3.5555555555555554</v>
      </c>
      <c r="S6" s="20">
        <v>1.8382186999999997</v>
      </c>
      <c r="T6" s="21">
        <v>145</v>
      </c>
      <c r="U6" s="22">
        <f t="shared" ref="U6:U11" si="4">S6/R6</f>
        <v>0.51699900937499998</v>
      </c>
      <c r="V6" s="23">
        <f t="shared" ref="V6:V11" si="5">R6-S6</f>
        <v>1.7173368555555557</v>
      </c>
      <c r="W6" s="24">
        <f t="shared" ref="W6:W11" si="6">O6-S6</f>
        <v>2.1617813000000003</v>
      </c>
      <c r="X6" s="16"/>
    </row>
    <row r="7" spans="2:24" ht="33.6" customHeight="1" x14ac:dyDescent="0.25">
      <c r="B7" s="17" t="s">
        <v>18</v>
      </c>
      <c r="C7" s="18" t="s">
        <v>19</v>
      </c>
      <c r="D7" s="19">
        <v>6</v>
      </c>
      <c r="E7" s="8">
        <f>D7/27</f>
        <v>0.22222222222222221</v>
      </c>
      <c r="F7" s="20">
        <v>0.27416170000000001</v>
      </c>
      <c r="G7" s="10">
        <f t="shared" si="2"/>
        <v>5.333333333333333</v>
      </c>
      <c r="H7" s="20">
        <v>3.9618321999999999</v>
      </c>
      <c r="I7" s="21">
        <v>37</v>
      </c>
      <c r="J7" s="22">
        <f t="shared" si="3"/>
        <v>0.74284353749999998</v>
      </c>
      <c r="K7" s="23">
        <f t="shared" ref="K7:K11" si="7">G7-H7</f>
        <v>1.3715011333333331</v>
      </c>
      <c r="L7" s="24">
        <f>D7-H7</f>
        <v>2.0381678000000001</v>
      </c>
      <c r="M7" s="77"/>
      <c r="N7" s="25" t="s">
        <v>19</v>
      </c>
      <c r="O7" s="26">
        <v>1.5</v>
      </c>
      <c r="P7" s="8">
        <f t="shared" si="0"/>
        <v>5.5555555555555552E-2</v>
      </c>
      <c r="Q7" s="8">
        <v>6.0712849999999999E-2</v>
      </c>
      <c r="R7" s="10">
        <f t="shared" si="1"/>
        <v>1.3333333333333333</v>
      </c>
      <c r="S7" s="20">
        <v>0.99811804000000037</v>
      </c>
      <c r="T7" s="21">
        <v>103</v>
      </c>
      <c r="U7" s="22">
        <f t="shared" si="4"/>
        <v>0.74858853000000036</v>
      </c>
      <c r="V7" s="23">
        <f t="shared" si="5"/>
        <v>0.33521529333333289</v>
      </c>
      <c r="W7" s="24">
        <f t="shared" si="6"/>
        <v>0.50188195999999963</v>
      </c>
      <c r="X7" s="16"/>
    </row>
    <row r="8" spans="2:24" ht="33.6" customHeight="1" x14ac:dyDescent="0.25">
      <c r="B8" s="17" t="s">
        <v>20</v>
      </c>
      <c r="C8" s="18" t="s">
        <v>21</v>
      </c>
      <c r="D8" s="19">
        <v>11</v>
      </c>
      <c r="E8" s="8">
        <f>D8/27</f>
        <v>0.40740740740740738</v>
      </c>
      <c r="F8" s="20">
        <v>0.14505712399999998</v>
      </c>
      <c r="G8" s="10">
        <f t="shared" si="2"/>
        <v>9.7777777777777768</v>
      </c>
      <c r="H8" s="20">
        <v>6.6809911100999999</v>
      </c>
      <c r="I8" s="21">
        <v>84</v>
      </c>
      <c r="J8" s="22">
        <f t="shared" si="3"/>
        <v>0.68328318171477276</v>
      </c>
      <c r="K8" s="23">
        <f t="shared" si="7"/>
        <v>3.0967866676777769</v>
      </c>
      <c r="L8" s="24">
        <f>D8-H8</f>
        <v>4.3190088899000001</v>
      </c>
      <c r="M8" s="77"/>
      <c r="N8" s="25" t="s">
        <v>21</v>
      </c>
      <c r="O8" s="26">
        <v>2</v>
      </c>
      <c r="P8" s="8">
        <f t="shared" si="0"/>
        <v>7.407407407407407E-2</v>
      </c>
      <c r="Q8" s="8">
        <v>4.7686340000000001E-2</v>
      </c>
      <c r="R8" s="10">
        <f t="shared" si="1"/>
        <v>1.7777777777777777</v>
      </c>
      <c r="S8" s="20">
        <v>1.65139305</v>
      </c>
      <c r="T8" s="21">
        <v>136</v>
      </c>
      <c r="U8" s="22">
        <f t="shared" si="4"/>
        <v>0.92890859062500009</v>
      </c>
      <c r="V8" s="23">
        <f t="shared" si="5"/>
        <v>0.12638472777777765</v>
      </c>
      <c r="W8" s="24">
        <f t="shared" si="6"/>
        <v>0.34860694999999997</v>
      </c>
      <c r="X8" s="16"/>
    </row>
    <row r="9" spans="2:24" ht="33.6" customHeight="1" x14ac:dyDescent="0.25">
      <c r="B9" s="17" t="s">
        <v>16</v>
      </c>
      <c r="C9" s="18" t="s">
        <v>22</v>
      </c>
      <c r="D9" s="19">
        <v>4.5</v>
      </c>
      <c r="E9" s="8">
        <f>D9/27</f>
        <v>0.16666666666666666</v>
      </c>
      <c r="F9" s="20">
        <v>0.21329920000000002</v>
      </c>
      <c r="G9" s="10">
        <f t="shared" si="2"/>
        <v>4</v>
      </c>
      <c r="H9" s="20">
        <v>5.4010201999999987</v>
      </c>
      <c r="I9" s="21">
        <v>42</v>
      </c>
      <c r="J9" s="22">
        <f t="shared" si="3"/>
        <v>1.3502550499999997</v>
      </c>
      <c r="K9" s="23">
        <f t="shared" si="7"/>
        <v>-1.4010201999999987</v>
      </c>
      <c r="L9" s="24">
        <f>D9-H9</f>
        <v>-0.90102019999999872</v>
      </c>
      <c r="M9" s="77"/>
      <c r="N9" s="25" t="s">
        <v>22</v>
      </c>
      <c r="O9" s="26">
        <v>2</v>
      </c>
      <c r="P9" s="8">
        <f t="shared" si="0"/>
        <v>7.407407407407407E-2</v>
      </c>
      <c r="Q9" s="8">
        <v>7.2999999999999995E-2</v>
      </c>
      <c r="R9" s="10">
        <f t="shared" si="1"/>
        <v>1.7777777777777777</v>
      </c>
      <c r="S9" s="20">
        <v>1.07919944</v>
      </c>
      <c r="T9" s="21">
        <v>96</v>
      </c>
      <c r="U9" s="22">
        <f t="shared" si="4"/>
        <v>0.60704968500000001</v>
      </c>
      <c r="V9" s="23">
        <f t="shared" si="5"/>
        <v>0.69857833777777767</v>
      </c>
      <c r="W9" s="24">
        <f t="shared" si="6"/>
        <v>0.92080055999999999</v>
      </c>
      <c r="X9" s="16"/>
    </row>
    <row r="10" spans="2:24" ht="33.6" customHeight="1" x14ac:dyDescent="0.25">
      <c r="B10" s="17" t="s">
        <v>23</v>
      </c>
      <c r="C10" s="18" t="s">
        <v>24</v>
      </c>
      <c r="D10" s="19">
        <v>8</v>
      </c>
      <c r="E10" s="8">
        <f>D10/27</f>
        <v>0.29629629629629628</v>
      </c>
      <c r="F10" s="20">
        <v>0.73895769999999972</v>
      </c>
      <c r="G10" s="10">
        <f t="shared" si="2"/>
        <v>7.1111111111111107</v>
      </c>
      <c r="H10" s="20">
        <v>4.8694405016999998</v>
      </c>
      <c r="I10" s="21">
        <v>44</v>
      </c>
      <c r="J10" s="22">
        <f t="shared" si="3"/>
        <v>0.68476507055156255</v>
      </c>
      <c r="K10" s="23">
        <f t="shared" si="7"/>
        <v>2.241670609411111</v>
      </c>
      <c r="L10" s="24">
        <f>D10-H10</f>
        <v>3.1305594983000002</v>
      </c>
      <c r="M10" s="77"/>
      <c r="N10" s="25" t="s">
        <v>24</v>
      </c>
      <c r="O10" s="26">
        <v>1.5</v>
      </c>
      <c r="P10" s="8">
        <f t="shared" si="0"/>
        <v>5.5555555555555552E-2</v>
      </c>
      <c r="Q10" s="8">
        <v>0.27731</v>
      </c>
      <c r="R10" s="10">
        <f t="shared" si="1"/>
        <v>1.3333333333333333</v>
      </c>
      <c r="S10" s="20">
        <v>1.2543737100000001</v>
      </c>
      <c r="T10" s="21">
        <v>87</v>
      </c>
      <c r="U10" s="22">
        <f t="shared" si="4"/>
        <v>0.94078028250000012</v>
      </c>
      <c r="V10" s="23">
        <f t="shared" si="5"/>
        <v>7.8959623333333173E-2</v>
      </c>
      <c r="W10" s="24">
        <f t="shared" si="6"/>
        <v>0.24562628999999991</v>
      </c>
      <c r="X10" s="16"/>
    </row>
    <row r="11" spans="2:24" ht="33.6" customHeight="1" thickBot="1" x14ac:dyDescent="0.3">
      <c r="B11" s="27" t="s">
        <v>14</v>
      </c>
      <c r="C11" s="28" t="s">
        <v>25</v>
      </c>
      <c r="D11" s="29">
        <v>4.5</v>
      </c>
      <c r="E11" s="8">
        <f>D11/27</f>
        <v>0.16666666666666666</v>
      </c>
      <c r="F11" s="30">
        <v>0</v>
      </c>
      <c r="G11" s="10">
        <f t="shared" si="2"/>
        <v>4</v>
      </c>
      <c r="H11" s="30">
        <v>3.3066018000000001</v>
      </c>
      <c r="I11" s="31">
        <v>16</v>
      </c>
      <c r="J11" s="32">
        <f t="shared" si="3"/>
        <v>0.82665045000000004</v>
      </c>
      <c r="K11" s="33">
        <f t="shared" si="7"/>
        <v>0.69339819999999985</v>
      </c>
      <c r="L11" s="34">
        <f>D11-H11</f>
        <v>1.1933981999999999</v>
      </c>
      <c r="M11" s="78"/>
      <c r="N11" s="35" t="s">
        <v>25</v>
      </c>
      <c r="O11" s="36">
        <v>1</v>
      </c>
      <c r="P11" s="8">
        <f t="shared" si="0"/>
        <v>3.7037037037037035E-2</v>
      </c>
      <c r="Q11" s="8">
        <v>0.01</v>
      </c>
      <c r="R11" s="10">
        <f t="shared" si="1"/>
        <v>0.88888888888888884</v>
      </c>
      <c r="S11" s="30">
        <v>0.67649999999999999</v>
      </c>
      <c r="T11" s="30">
        <v>51</v>
      </c>
      <c r="U11" s="32">
        <f t="shared" si="4"/>
        <v>0.76106250000000009</v>
      </c>
      <c r="V11" s="33">
        <f t="shared" si="5"/>
        <v>0.21238888888888885</v>
      </c>
      <c r="W11" s="34">
        <f t="shared" si="6"/>
        <v>0.32350000000000001</v>
      </c>
      <c r="X11" s="16"/>
    </row>
    <row r="12" spans="2:24" ht="16.5" thickBot="1" x14ac:dyDescent="0.3">
      <c r="B12" s="37" t="s">
        <v>26</v>
      </c>
      <c r="C12" s="38"/>
      <c r="D12" s="39">
        <f t="shared" ref="D12:G12" si="8">SUM(D5:D11)</f>
        <v>79</v>
      </c>
      <c r="E12" s="40">
        <f t="shared" si="8"/>
        <v>2.9259259259259256</v>
      </c>
      <c r="F12" s="40">
        <f t="shared" si="8"/>
        <v>3.8466612479999989</v>
      </c>
      <c r="G12" s="40">
        <f t="shared" si="8"/>
        <v>70.222222222222229</v>
      </c>
      <c r="H12" s="40">
        <f>SUM(H5:H11)</f>
        <v>65.797257492399993</v>
      </c>
      <c r="I12" s="41">
        <f t="shared" ref="I12" si="9">SUM(I5:I11)</f>
        <v>592</v>
      </c>
      <c r="J12" s="42">
        <f>H12/G12</f>
        <v>0.93698626175886057</v>
      </c>
      <c r="K12" s="40">
        <f>SUM(K5:K11)</f>
        <v>4.4249647298222161</v>
      </c>
      <c r="L12" s="43">
        <f>SUM(L5:L11)</f>
        <v>13.2027425076</v>
      </c>
      <c r="M12" s="44"/>
      <c r="N12" s="45" t="s">
        <v>27</v>
      </c>
      <c r="O12" s="40">
        <f t="shared" ref="O12:T12" si="10">SUM(O5:O11)</f>
        <v>17</v>
      </c>
      <c r="P12" s="40">
        <f t="shared" si="10"/>
        <v>0.62962962962962954</v>
      </c>
      <c r="Q12" s="40">
        <f>SUM(Q5:Q11)</f>
        <v>0.66158008000000001</v>
      </c>
      <c r="R12" s="40">
        <f t="shared" si="10"/>
        <v>15.111111111111112</v>
      </c>
      <c r="S12" s="40">
        <f t="shared" si="10"/>
        <v>11.060262610000001</v>
      </c>
      <c r="T12" s="41">
        <f t="shared" si="10"/>
        <v>894</v>
      </c>
      <c r="U12" s="46">
        <f>AVERAGE(U5:U11)</f>
        <v>0.7578488604642859</v>
      </c>
      <c r="V12" s="40">
        <f>SUM(V5:V11)</f>
        <v>4.0508485011111111</v>
      </c>
      <c r="W12" s="43">
        <f>SUM(W5:W11)</f>
        <v>5.9397373899999995</v>
      </c>
    </row>
    <row r="13" spans="2:24" ht="21" customHeight="1" thickBot="1" x14ac:dyDescent="0.3">
      <c r="B13" s="70" t="s">
        <v>28</v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2"/>
    </row>
    <row r="14" spans="2:24" ht="16.5" thickBot="1" x14ac:dyDescent="0.3">
      <c r="B14" s="47" t="s">
        <v>1</v>
      </c>
      <c r="C14" s="48"/>
      <c r="D14" s="48"/>
      <c r="E14" s="48"/>
      <c r="F14" s="48"/>
      <c r="G14" s="48"/>
      <c r="H14" s="48"/>
      <c r="I14" s="48"/>
      <c r="J14" s="48"/>
      <c r="K14" s="48"/>
      <c r="L14" s="49"/>
      <c r="M14" s="76"/>
      <c r="N14" s="50" t="s">
        <v>2</v>
      </c>
      <c r="O14" s="51"/>
      <c r="P14" s="51"/>
      <c r="Q14" s="51"/>
      <c r="R14" s="51"/>
      <c r="S14" s="51"/>
      <c r="T14" s="51"/>
      <c r="U14" s="51"/>
      <c r="V14" s="51"/>
      <c r="W14" s="52"/>
    </row>
    <row r="15" spans="2:24" ht="48" thickBot="1" x14ac:dyDescent="0.3">
      <c r="B15" s="2" t="s">
        <v>3</v>
      </c>
      <c r="C15" s="3" t="s">
        <v>4</v>
      </c>
      <c r="D15" s="3" t="s">
        <v>5</v>
      </c>
      <c r="E15" s="3" t="s">
        <v>6</v>
      </c>
      <c r="F15" s="3" t="s">
        <v>7</v>
      </c>
      <c r="G15" s="3" t="s">
        <v>8</v>
      </c>
      <c r="H15" s="3" t="s">
        <v>9</v>
      </c>
      <c r="I15" s="3" t="s">
        <v>10</v>
      </c>
      <c r="J15" s="3" t="s">
        <v>11</v>
      </c>
      <c r="K15" s="3" t="s">
        <v>12</v>
      </c>
      <c r="L15" s="4" t="s">
        <v>13</v>
      </c>
      <c r="M15" s="77"/>
      <c r="N15" s="2" t="s">
        <v>4</v>
      </c>
      <c r="O15" s="3" t="s">
        <v>5</v>
      </c>
      <c r="P15" s="3" t="s">
        <v>6</v>
      </c>
      <c r="Q15" s="3" t="s">
        <v>7</v>
      </c>
      <c r="R15" s="3" t="s">
        <v>8</v>
      </c>
      <c r="S15" s="3" t="s">
        <v>9</v>
      </c>
      <c r="T15" s="3" t="s">
        <v>10</v>
      </c>
      <c r="U15" s="3" t="s">
        <v>11</v>
      </c>
      <c r="V15" s="3" t="s">
        <v>12</v>
      </c>
      <c r="W15" s="4" t="s">
        <v>13</v>
      </c>
    </row>
    <row r="16" spans="2:24" ht="31.5" x14ac:dyDescent="0.25">
      <c r="B16" s="17" t="s">
        <v>29</v>
      </c>
      <c r="C16" s="6" t="s">
        <v>30</v>
      </c>
      <c r="D16" s="7">
        <v>15</v>
      </c>
      <c r="E16" s="8">
        <f>D16/27</f>
        <v>0.55555555555555558</v>
      </c>
      <c r="F16" s="9">
        <v>0.67507862120000006</v>
      </c>
      <c r="G16" s="10">
        <f t="shared" ref="G16:G22" si="11">E16*24</f>
        <v>13.333333333333334</v>
      </c>
      <c r="H16" s="9">
        <v>9.8865190501000004</v>
      </c>
      <c r="I16" s="11">
        <v>77</v>
      </c>
      <c r="J16" s="12">
        <f t="shared" ref="J16:J22" si="12">H16/G16</f>
        <v>0.74148892875750005</v>
      </c>
      <c r="K16" s="10">
        <f t="shared" ref="K16:K22" si="13">G16-H16</f>
        <v>3.4468142832333335</v>
      </c>
      <c r="L16" s="13">
        <f>D16-H16</f>
        <v>5.1134809498999996</v>
      </c>
      <c r="M16" s="77"/>
      <c r="N16" s="53" t="s">
        <v>30</v>
      </c>
      <c r="O16" s="15">
        <v>4</v>
      </c>
      <c r="P16" s="8">
        <f t="shared" ref="P16:P22" si="14">O16/27</f>
        <v>0.14814814814814814</v>
      </c>
      <c r="Q16" s="8">
        <v>4.10140365</v>
      </c>
      <c r="R16" s="10">
        <f t="shared" ref="R16:R22" si="15">P16*24</f>
        <v>3.5555555555555554</v>
      </c>
      <c r="S16" s="9">
        <v>6.1744213599999993</v>
      </c>
      <c r="T16" s="11">
        <v>184</v>
      </c>
      <c r="U16" s="12">
        <f t="shared" ref="U16:U22" si="16">S16/R16</f>
        <v>1.7365560074999999</v>
      </c>
      <c r="V16" s="10">
        <f t="shared" ref="V16:V22" si="17">R16-S16</f>
        <v>-2.6188658044444439</v>
      </c>
      <c r="W16" s="13">
        <f t="shared" ref="W16:W22" si="18">O16-S16</f>
        <v>-2.1744213599999993</v>
      </c>
      <c r="X16" s="16"/>
    </row>
    <row r="17" spans="2:24" ht="31.5" x14ac:dyDescent="0.25">
      <c r="B17" s="17" t="s">
        <v>29</v>
      </c>
      <c r="C17" s="18" t="s">
        <v>31</v>
      </c>
      <c r="D17" s="19">
        <v>33</v>
      </c>
      <c r="E17" s="8">
        <f>D17/27</f>
        <v>1.2222222222222223</v>
      </c>
      <c r="F17" s="20">
        <v>0.2389722017</v>
      </c>
      <c r="G17" s="10">
        <f t="shared" si="11"/>
        <v>29.333333333333336</v>
      </c>
      <c r="H17" s="20">
        <v>19.863890208299999</v>
      </c>
      <c r="I17" s="21">
        <v>197</v>
      </c>
      <c r="J17" s="22">
        <f>(H17)/G17</f>
        <v>0.67717807528295448</v>
      </c>
      <c r="K17" s="23">
        <f t="shared" si="13"/>
        <v>9.4694431250333366</v>
      </c>
      <c r="L17" s="24">
        <f>D17-H17</f>
        <v>13.136109791700001</v>
      </c>
      <c r="M17" s="77"/>
      <c r="N17" s="54" t="s">
        <v>31</v>
      </c>
      <c r="O17" s="26">
        <v>6</v>
      </c>
      <c r="P17" s="8">
        <f t="shared" si="14"/>
        <v>0.22222222222222221</v>
      </c>
      <c r="Q17" s="8">
        <v>0.22649398000000001</v>
      </c>
      <c r="R17" s="10">
        <f t="shared" si="15"/>
        <v>5.333333333333333</v>
      </c>
      <c r="S17" s="20">
        <v>3.8434824499999998</v>
      </c>
      <c r="T17" s="21">
        <v>265</v>
      </c>
      <c r="U17" s="22">
        <f>S17/R17</f>
        <v>0.72065295937499996</v>
      </c>
      <c r="V17" s="23">
        <f t="shared" si="17"/>
        <v>1.4898508833333333</v>
      </c>
      <c r="W17" s="24">
        <f t="shared" si="18"/>
        <v>2.1565175500000002</v>
      </c>
      <c r="X17" s="16"/>
    </row>
    <row r="18" spans="2:24" ht="31.5" x14ac:dyDescent="0.25">
      <c r="B18" s="17" t="s">
        <v>32</v>
      </c>
      <c r="C18" s="18" t="s">
        <v>33</v>
      </c>
      <c r="D18" s="19">
        <v>18</v>
      </c>
      <c r="E18" s="8">
        <f>D18/27</f>
        <v>0.66666666666666663</v>
      </c>
      <c r="F18" s="20">
        <v>0.22414849999999997</v>
      </c>
      <c r="G18" s="10">
        <f t="shared" si="11"/>
        <v>16</v>
      </c>
      <c r="H18" s="20">
        <v>9.356110376400002</v>
      </c>
      <c r="I18" s="21">
        <v>111</v>
      </c>
      <c r="J18" s="22">
        <f t="shared" si="12"/>
        <v>0.58475689852500012</v>
      </c>
      <c r="K18" s="23">
        <f t="shared" si="13"/>
        <v>6.643889623599998</v>
      </c>
      <c r="L18" s="24">
        <f>D18-H18</f>
        <v>8.643889623599998</v>
      </c>
      <c r="M18" s="77"/>
      <c r="N18" s="54" t="s">
        <v>33</v>
      </c>
      <c r="O18" s="26">
        <v>6</v>
      </c>
      <c r="P18" s="8">
        <f t="shared" si="14"/>
        <v>0.22222222222222221</v>
      </c>
      <c r="Q18" s="8">
        <v>0.24184190999999999</v>
      </c>
      <c r="R18" s="10">
        <f t="shared" si="15"/>
        <v>5.333333333333333</v>
      </c>
      <c r="S18" s="20">
        <v>4.0042549199999993</v>
      </c>
      <c r="T18" s="21">
        <v>227</v>
      </c>
      <c r="U18" s="22">
        <f t="shared" si="16"/>
        <v>0.75079779749999986</v>
      </c>
      <c r="V18" s="23">
        <f t="shared" si="17"/>
        <v>1.3290784133333338</v>
      </c>
      <c r="W18" s="24">
        <f t="shared" si="18"/>
        <v>1.9957450800000007</v>
      </c>
      <c r="X18" s="16"/>
    </row>
    <row r="19" spans="2:24" ht="31.5" x14ac:dyDescent="0.25">
      <c r="B19" s="17" t="s">
        <v>32</v>
      </c>
      <c r="C19" s="18" t="s">
        <v>34</v>
      </c>
      <c r="D19" s="19">
        <v>8</v>
      </c>
      <c r="E19" s="8">
        <f>D19/27</f>
        <v>0.29629629629629628</v>
      </c>
      <c r="F19" s="20">
        <v>0.13796639999999999</v>
      </c>
      <c r="G19" s="10">
        <f t="shared" si="11"/>
        <v>7.1111111111111107</v>
      </c>
      <c r="H19" s="20">
        <v>3.4643959402999998</v>
      </c>
      <c r="I19" s="21">
        <v>65</v>
      </c>
      <c r="J19" s="22">
        <f t="shared" si="12"/>
        <v>0.48718067910468749</v>
      </c>
      <c r="K19" s="23">
        <f t="shared" si="13"/>
        <v>3.646715170811111</v>
      </c>
      <c r="L19" s="24">
        <f>D19-H19</f>
        <v>4.5356040597000007</v>
      </c>
      <c r="M19" s="77"/>
      <c r="N19" s="54" t="s">
        <v>34</v>
      </c>
      <c r="O19" s="26">
        <v>1</v>
      </c>
      <c r="P19" s="8">
        <f t="shared" si="14"/>
        <v>3.7037037037037035E-2</v>
      </c>
      <c r="Q19" s="8">
        <v>4.3226390000000003E-2</v>
      </c>
      <c r="R19" s="10">
        <f t="shared" si="15"/>
        <v>0.88888888888888884</v>
      </c>
      <c r="S19" s="20">
        <v>0.85609310000000016</v>
      </c>
      <c r="T19" s="21">
        <v>76</v>
      </c>
      <c r="U19" s="22">
        <f t="shared" si="16"/>
        <v>0.96310473750000025</v>
      </c>
      <c r="V19" s="23">
        <f t="shared" si="17"/>
        <v>3.2795788888888677E-2</v>
      </c>
      <c r="W19" s="24">
        <f t="shared" si="18"/>
        <v>0.14390689999999984</v>
      </c>
      <c r="X19" s="16"/>
    </row>
    <row r="20" spans="2:24" ht="31.5" x14ac:dyDescent="0.25">
      <c r="B20" s="17" t="s">
        <v>35</v>
      </c>
      <c r="C20" s="18" t="s">
        <v>36</v>
      </c>
      <c r="D20" s="19">
        <v>6</v>
      </c>
      <c r="E20" s="8">
        <f>D20/27</f>
        <v>0.22222222222222221</v>
      </c>
      <c r="F20" s="20">
        <v>0.33325379999999999</v>
      </c>
      <c r="G20" s="10">
        <f t="shared" si="11"/>
        <v>5.333333333333333</v>
      </c>
      <c r="H20" s="20">
        <v>3.431406133899999</v>
      </c>
      <c r="I20" s="21">
        <v>34</v>
      </c>
      <c r="J20" s="22">
        <f t="shared" si="12"/>
        <v>0.6433886501062499</v>
      </c>
      <c r="K20" s="23">
        <f t="shared" si="13"/>
        <v>1.901927199433334</v>
      </c>
      <c r="L20" s="24">
        <f>D20-H20</f>
        <v>2.568593866100001</v>
      </c>
      <c r="M20" s="77"/>
      <c r="N20" s="54" t="s">
        <v>36</v>
      </c>
      <c r="O20" s="26">
        <v>2</v>
      </c>
      <c r="P20" s="8">
        <f t="shared" si="14"/>
        <v>7.407407407407407E-2</v>
      </c>
      <c r="Q20" s="8">
        <v>6.9263829999999998E-2</v>
      </c>
      <c r="R20" s="10">
        <f t="shared" si="15"/>
        <v>1.7777777777777777</v>
      </c>
      <c r="S20" s="20">
        <v>1.0444688200000001</v>
      </c>
      <c r="T20" s="21">
        <v>91</v>
      </c>
      <c r="U20" s="22">
        <f t="shared" si="16"/>
        <v>0.58751371125000007</v>
      </c>
      <c r="V20" s="23">
        <f t="shared" si="17"/>
        <v>0.7333089577777776</v>
      </c>
      <c r="W20" s="24">
        <f t="shared" si="18"/>
        <v>0.95553117999999992</v>
      </c>
      <c r="X20" s="16"/>
    </row>
    <row r="21" spans="2:24" ht="31.5" x14ac:dyDescent="0.25">
      <c r="B21" s="17" t="s">
        <v>37</v>
      </c>
      <c r="C21" s="18" t="s">
        <v>38</v>
      </c>
      <c r="D21" s="19">
        <v>18</v>
      </c>
      <c r="E21" s="8">
        <f>D21/27</f>
        <v>0.66666666666666663</v>
      </c>
      <c r="F21" s="20">
        <v>2.3763237894000002</v>
      </c>
      <c r="G21" s="10">
        <f t="shared" si="11"/>
        <v>16</v>
      </c>
      <c r="H21" s="20">
        <v>17.992450948199998</v>
      </c>
      <c r="I21" s="21">
        <v>148</v>
      </c>
      <c r="J21" s="22">
        <f t="shared" si="12"/>
        <v>1.1245281842624999</v>
      </c>
      <c r="K21" s="23">
        <f t="shared" si="13"/>
        <v>-1.9924509481999984</v>
      </c>
      <c r="L21" s="24">
        <f>D21-H21</f>
        <v>7.5490518000016493E-3</v>
      </c>
      <c r="M21" s="77"/>
      <c r="N21" s="54" t="s">
        <v>38</v>
      </c>
      <c r="O21" s="26">
        <v>4</v>
      </c>
      <c r="P21" s="8">
        <f t="shared" si="14"/>
        <v>0.14814814814814814</v>
      </c>
      <c r="Q21" s="8">
        <v>0.10639384</v>
      </c>
      <c r="R21" s="10">
        <f t="shared" si="15"/>
        <v>3.5555555555555554</v>
      </c>
      <c r="S21" s="20">
        <v>2.8382994900000003</v>
      </c>
      <c r="T21" s="21">
        <v>254</v>
      </c>
      <c r="U21" s="22">
        <f t="shared" si="16"/>
        <v>0.79827173156250009</v>
      </c>
      <c r="V21" s="23">
        <f t="shared" si="17"/>
        <v>0.7172560655555551</v>
      </c>
      <c r="W21" s="24">
        <f t="shared" si="18"/>
        <v>1.1617005099999997</v>
      </c>
      <c r="X21" s="16"/>
    </row>
    <row r="22" spans="2:24" ht="32.25" thickBot="1" x14ac:dyDescent="0.3">
      <c r="B22" s="27" t="s">
        <v>39</v>
      </c>
      <c r="C22" s="28" t="s">
        <v>40</v>
      </c>
      <c r="D22" s="29">
        <v>7</v>
      </c>
      <c r="E22" s="8">
        <f>D22/27</f>
        <v>0.25925925925925924</v>
      </c>
      <c r="F22" s="30">
        <v>0.27346720000000002</v>
      </c>
      <c r="G22" s="10">
        <f t="shared" si="11"/>
        <v>6.2222222222222214</v>
      </c>
      <c r="H22" s="30">
        <v>4.1050186623</v>
      </c>
      <c r="I22" s="31">
        <v>72</v>
      </c>
      <c r="J22" s="32">
        <f t="shared" si="12"/>
        <v>0.65973514215535722</v>
      </c>
      <c r="K22" s="33">
        <f t="shared" si="13"/>
        <v>2.1172035599222214</v>
      </c>
      <c r="L22" s="34">
        <f>D22-H22</f>
        <v>2.8949813377</v>
      </c>
      <c r="M22" s="78"/>
      <c r="N22" s="55" t="s">
        <v>40</v>
      </c>
      <c r="O22" s="36">
        <v>1</v>
      </c>
      <c r="P22" s="8">
        <f t="shared" si="14"/>
        <v>3.7037037037037035E-2</v>
      </c>
      <c r="Q22" s="8">
        <v>1.7806800000000001E-2</v>
      </c>
      <c r="R22" s="10">
        <f t="shared" si="15"/>
        <v>0.88888888888888884</v>
      </c>
      <c r="S22" s="30">
        <v>1.1094794400000001</v>
      </c>
      <c r="T22" s="31">
        <v>91</v>
      </c>
      <c r="U22" s="32">
        <f t="shared" si="16"/>
        <v>1.2481643700000002</v>
      </c>
      <c r="V22" s="33">
        <f t="shared" si="17"/>
        <v>-0.22059055111111125</v>
      </c>
      <c r="W22" s="34">
        <f t="shared" si="18"/>
        <v>-0.10947944000000009</v>
      </c>
      <c r="X22" s="16"/>
    </row>
    <row r="23" spans="2:24" ht="16.5" thickBot="1" x14ac:dyDescent="0.3">
      <c r="B23" s="63" t="s">
        <v>26</v>
      </c>
      <c r="C23" s="64"/>
      <c r="D23" s="40">
        <f t="shared" ref="D23:I23" si="19">SUM(D16:D22)</f>
        <v>105</v>
      </c>
      <c r="E23" s="40">
        <f t="shared" si="19"/>
        <v>3.8888888888888888</v>
      </c>
      <c r="F23" s="40">
        <f t="shared" si="19"/>
        <v>4.2592105123000001</v>
      </c>
      <c r="G23" s="40">
        <f t="shared" si="19"/>
        <v>93.333333333333343</v>
      </c>
      <c r="H23" s="40">
        <f t="shared" si="19"/>
        <v>68.0997913195</v>
      </c>
      <c r="I23" s="41">
        <f t="shared" si="19"/>
        <v>704</v>
      </c>
      <c r="J23" s="42">
        <f>H23/G23</f>
        <v>0.72964062128035712</v>
      </c>
      <c r="K23" s="40">
        <f>SUM(K16:K22)</f>
        <v>25.233542013833336</v>
      </c>
      <c r="L23" s="43">
        <f>SUM(L16:L22)</f>
        <v>36.9002086805</v>
      </c>
      <c r="M23" s="56"/>
      <c r="N23" s="45" t="s">
        <v>27</v>
      </c>
      <c r="O23" s="40">
        <f t="shared" ref="O23:T23" si="20">SUM(O16:O22)</f>
        <v>24</v>
      </c>
      <c r="P23" s="40">
        <f t="shared" si="20"/>
        <v>0.88888888888888884</v>
      </c>
      <c r="Q23" s="40">
        <f t="shared" si="20"/>
        <v>4.8064303999999991</v>
      </c>
      <c r="R23" s="40">
        <f t="shared" si="20"/>
        <v>21.333333333333332</v>
      </c>
      <c r="S23" s="40">
        <f t="shared" si="20"/>
        <v>19.870499580000001</v>
      </c>
      <c r="T23" s="41">
        <f t="shared" si="20"/>
        <v>1188</v>
      </c>
      <c r="U23" s="46">
        <f>AVERAGE(U5:U17)</f>
        <v>0.8519999850589286</v>
      </c>
      <c r="V23" s="40">
        <f>SUM(V16:V22)</f>
        <v>1.4628337533333331</v>
      </c>
      <c r="W23" s="43">
        <f>SUM(W16:W22)</f>
        <v>4.1295004200000003</v>
      </c>
    </row>
    <row r="24" spans="2:24" ht="16.5" thickBot="1" x14ac:dyDescent="0.3">
      <c r="B24" s="65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7"/>
    </row>
    <row r="25" spans="2:24" ht="16.5" thickBot="1" x14ac:dyDescent="0.3">
      <c r="B25" s="68" t="s">
        <v>27</v>
      </c>
      <c r="C25" s="69"/>
      <c r="D25" s="57">
        <f>(D12+D23)</f>
        <v>184</v>
      </c>
      <c r="E25" s="57">
        <f>(E12+E23)</f>
        <v>6.8148148148148149</v>
      </c>
      <c r="F25" s="57">
        <f>(F12+F23)</f>
        <v>8.1058717602999995</v>
      </c>
      <c r="G25" s="57">
        <f>(G12+G23)</f>
        <v>163.55555555555557</v>
      </c>
      <c r="H25" s="57">
        <f>(H12+H23)</f>
        <v>133.89704881189999</v>
      </c>
      <c r="I25" s="58">
        <f>I12+I23</f>
        <v>1296</v>
      </c>
      <c r="J25" s="59">
        <f>H25/G25</f>
        <v>0.8186640212684102</v>
      </c>
      <c r="K25" s="57">
        <f>(K12+K23)</f>
        <v>29.658506743655551</v>
      </c>
      <c r="L25" s="57">
        <f>(L12+L23)</f>
        <v>50.1029511881</v>
      </c>
      <c r="M25" s="60"/>
      <c r="N25" s="61" t="s">
        <v>27</v>
      </c>
      <c r="O25" s="57">
        <f>(O12+O23)</f>
        <v>41</v>
      </c>
      <c r="P25" s="57">
        <f>(P12+P23)</f>
        <v>1.5185185185185184</v>
      </c>
      <c r="Q25" s="57">
        <f>(Q12+Q23)</f>
        <v>5.4680104799999993</v>
      </c>
      <c r="R25" s="57">
        <f>(R12+R23)</f>
        <v>36.444444444444443</v>
      </c>
      <c r="S25" s="57">
        <f>(S12+S23)</f>
        <v>30.930762190000003</v>
      </c>
      <c r="T25" s="62">
        <f>T12+T23</f>
        <v>2082</v>
      </c>
      <c r="U25" s="59">
        <f>AVERAGE(U12,U23)</f>
        <v>0.80492442276160725</v>
      </c>
      <c r="V25" s="57">
        <f>(V12+V23)</f>
        <v>5.5136822544444444</v>
      </c>
      <c r="W25" s="57">
        <f>(W12+W23)</f>
        <v>10.069237810000001</v>
      </c>
    </row>
  </sheetData>
  <mergeCells count="9">
    <mergeCell ref="B23:C23"/>
    <mergeCell ref="B24:W24"/>
    <mergeCell ref="B25:C25"/>
    <mergeCell ref="B2:W2"/>
    <mergeCell ref="B3:L3"/>
    <mergeCell ref="M3:M11"/>
    <mergeCell ref="N3:W3"/>
    <mergeCell ref="B13:W13"/>
    <mergeCell ref="M14:M22"/>
  </mergeCells>
  <conditionalFormatting sqref="J5:J11 J16:J22">
    <cfRule type="cellIs" dxfId="5" priority="13" stopIfTrue="1" operator="lessThan">
      <formula>0.6</formula>
    </cfRule>
    <cfRule type="cellIs" dxfId="4" priority="14" stopIfTrue="1" operator="between">
      <formula>0.6</formula>
      <formula>0.8</formula>
    </cfRule>
    <cfRule type="cellIs" dxfId="3" priority="15" stopIfTrue="1" operator="greaterThan">
      <formula>0.8</formula>
    </cfRule>
  </conditionalFormatting>
  <conditionalFormatting sqref="U5:U11 U16:U22">
    <cfRule type="cellIs" dxfId="2" priority="10" stopIfTrue="1" operator="lessThan">
      <formula>0.59</formula>
    </cfRule>
    <cfRule type="cellIs" dxfId="1" priority="11" stopIfTrue="1" operator="between">
      <formula>0.6</formula>
      <formula>0.8</formula>
    </cfRule>
    <cfRule type="cellIs" dxfId="0" priority="12" stopIfTrue="1" operator="greaterThan">
      <formula>0.8</formula>
    </cfRule>
  </conditionalFormatting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April BO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Pranay Kamble</dc:creator>
  <cp:lastModifiedBy>Vishal Chavan</cp:lastModifiedBy>
  <dcterms:created xsi:type="dcterms:W3CDTF">2026-07-29T07:27:35Z</dcterms:created>
  <dcterms:modified xsi:type="dcterms:W3CDTF">2026-07-30T06:28:16Z</dcterms:modified>
</cp:coreProperties>
</file>