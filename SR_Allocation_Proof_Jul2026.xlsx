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15" windowWidth="19815" windowHeight="7110"/>
  </bookViews>
  <sheets>
    <sheet name="SR Allocation Proof" sheetId="1" r:id="rId1"/>
  </sheets>
  <definedNames>
    <definedName name="_xlnm._FilterDatabase" localSheetId="0" hidden="1">'SR Allocation Proof'!$A$21:$K$78</definedName>
    <definedName name="_xlnm.Print_Titles" localSheetId="0">'SR Allocation Proof'!$21:$21</definedName>
  </definedNames>
  <calcPr calcId="145621"/>
</workbook>
</file>

<file path=xl/calcChain.xml><?xml version="1.0" encoding="utf-8"?>
<calcChain xmlns="http://schemas.openxmlformats.org/spreadsheetml/2006/main">
  <c r="K79" i="1" l="1"/>
  <c r="J79" i="1"/>
</calcChain>
</file>

<file path=xl/sharedStrings.xml><?xml version="1.0" encoding="utf-8"?>
<sst xmlns="http://schemas.openxmlformats.org/spreadsheetml/2006/main" count="449" uniqueCount="203">
  <si>
    <t>PMS  &gt;  SR Allocation Report      why ALLOCATED is LESS than CLOSED for one engineer in one month</t>
  </si>
  <si>
    <t>Service Engineer</t>
  </si>
  <si>
    <t>PRABHAKAR UPHADE</t>
  </si>
  <si>
    <t>SE UID</t>
  </si>
  <si>
    <t>4204350034</t>
  </si>
  <si>
    <t>Branch</t>
  </si>
  <si>
    <t>Parbhani</t>
  </si>
  <si>
    <t>Report month</t>
  </si>
  <si>
    <t>Jul-2026</t>
  </si>
  <si>
    <t>Source</t>
  </si>
  <si>
    <t>EFSR Report  (table: efsr_report)  -  every row below is a real record</t>
  </si>
  <si>
    <t>THE ARITHMETIC</t>
  </si>
  <si>
    <t>Allocated Total Task in Jul-2026</t>
  </si>
  <si>
    <t>rows whose TASK ASSIGNED DATE falls in Jul-2026      (blocks B + C below)</t>
  </si>
  <si>
    <t>Closed Total Task in Jul-2026</t>
  </si>
  <si>
    <t>rows whose TASK END DATE falls in Jul-2026      (blocks A + B below)</t>
  </si>
  <si>
    <t>Difference   ( Closed  minus  Allocated )</t>
  </si>
  <si>
    <t>positive = he FINISHED more jobs than he RECEIVED this month</t>
  </si>
  <si>
    <t>(+)  Carry-IN    closed in Jul-2026, but allocated in an EARLIER month</t>
  </si>
  <si>
    <t>BLOCK A  -  last month open jobs, cleared this month.  Counts in CLOSED only.</t>
  </si>
  <si>
    <t>(-)  Carry-OUT   allocated in Jul-2026, but NOT closed in Jul-2026</t>
  </si>
  <si>
    <t>BLOCK C  -  still open at month end.  Counts in ALLOCATED only.</t>
  </si>
  <si>
    <t>Carry-IN  minus  Carry-OUT</t>
  </si>
  <si>
    <t>exactly equals the Difference above.  This is the whole reason.</t>
  </si>
  <si>
    <t>CONCLUSION:   18 closures carried IN from earlier months, only 7 allocations carried OUT.
So CLOSED (47) comes out 11 MORE than ALLOCATED (36).  The report is correct - the two columns are counted on two DIFFERENT dates of the same record.</t>
  </si>
  <si>
    <t>THE RECORDS      every EFSR row of this engineer that touches Jul-2026   (54 rows)</t>
  </si>
  <si>
    <t>Sr No</t>
  </si>
  <si>
    <t>Category</t>
  </si>
  <si>
    <t>Appointment No</t>
  </si>
  <si>
    <t>SR No</t>
  </si>
  <si>
    <t>Customer / Account</t>
  </si>
  <si>
    <t>SR Type</t>
  </si>
  <si>
    <t>SR Status</t>
  </si>
  <si>
    <t>Task Assigned Date</t>
  </si>
  <si>
    <t>Task End Date</t>
  </si>
  <si>
    <t>Counts as ALLOCATED in Jul-2026</t>
  </si>
  <si>
    <t>Counts as CLOSED in Jul-2026</t>
  </si>
  <si>
    <t>BLOCK A      allocated in Jun-2026 or earlier,  CLOSED in Jul-2026        -&gt;   counts in CLOSED only        (18 records)</t>
  </si>
  <si>
    <t>A  carry-IN from earlier month</t>
  </si>
  <si>
    <t>213513657_1</t>
  </si>
  <si>
    <t>213513657</t>
  </si>
  <si>
    <t>Reliance Jio Infocomm Limited</t>
  </si>
  <si>
    <t>KOEL AMC</t>
  </si>
  <si>
    <t>Closed</t>
  </si>
  <si>
    <t>YES</t>
  </si>
  <si>
    <t>213525143_1</t>
  </si>
  <si>
    <t>213525143</t>
  </si>
  <si>
    <t>VENKATESH COTTON PVT LTD</t>
  </si>
  <si>
    <t>KOEL Bandhan Plus</t>
  </si>
  <si>
    <t>213531182_1</t>
  </si>
  <si>
    <t>213531182</t>
  </si>
  <si>
    <t>Patil Diesel</t>
  </si>
  <si>
    <t>CSP</t>
  </si>
  <si>
    <t>213557078_1</t>
  </si>
  <si>
    <t>213557078</t>
  </si>
  <si>
    <t>213549803_1</t>
  </si>
  <si>
    <t>213549803</t>
  </si>
  <si>
    <t>213578665_1</t>
  </si>
  <si>
    <t>213578665</t>
  </si>
  <si>
    <t>Dnyansadhana Pratishthan Educational Institution</t>
  </si>
  <si>
    <t>Bandhan Premium</t>
  </si>
  <si>
    <t>213612163_1</t>
  </si>
  <si>
    <t>213612163</t>
  </si>
  <si>
    <t>Sparsh Hospital</t>
  </si>
  <si>
    <t>213469059_1</t>
  </si>
  <si>
    <t>213469059</t>
  </si>
  <si>
    <t>SHAIKH MOHSIN SHAIKH MUSA MOMIN</t>
  </si>
  <si>
    <t>Post Warranty</t>
  </si>
  <si>
    <t>211672430_1</t>
  </si>
  <si>
    <t>211672430</t>
  </si>
  <si>
    <t>Surbhi Hospital</t>
  </si>
  <si>
    <t>KOEL Bandhan</t>
  </si>
  <si>
    <t>212023815_1</t>
  </si>
  <si>
    <t>212023815</t>
  </si>
  <si>
    <t>Gagasagar Lawns</t>
  </si>
  <si>
    <t>213217374_1</t>
  </si>
  <si>
    <t>213217374</t>
  </si>
  <si>
    <t>Sarish Filling Station</t>
  </si>
  <si>
    <t>213243495_1</t>
  </si>
  <si>
    <t>213243495</t>
  </si>
  <si>
    <t>Jawale spine and orthopedic super speciality hospital</t>
  </si>
  <si>
    <t>213248886_1</t>
  </si>
  <si>
    <t>213248886</t>
  </si>
  <si>
    <t>ID SQUARE HOSPITALITY</t>
  </si>
  <si>
    <t>213275118_1</t>
  </si>
  <si>
    <t>213275118</t>
  </si>
  <si>
    <t>HOTAL ORBIT</t>
  </si>
  <si>
    <t>213310568_1</t>
  </si>
  <si>
    <t>213310568</t>
  </si>
  <si>
    <t>Narmada Hospital</t>
  </si>
  <si>
    <t>213623899_1</t>
  </si>
  <si>
    <t>213623899</t>
  </si>
  <si>
    <t>Vision Public</t>
  </si>
  <si>
    <t>213636551_1</t>
  </si>
  <si>
    <t>213636551</t>
  </si>
  <si>
    <t>CHAITANYA HOSPITAL</t>
  </si>
  <si>
    <t>213639333_1</t>
  </si>
  <si>
    <t>213639333</t>
  </si>
  <si>
    <t>S.N.RAWALEKAR</t>
  </si>
  <si>
    <t>BLOCK B      allocated AND closed in Jul-2026        -&gt;   counts in BOTH        (29 records)</t>
  </si>
  <si>
    <t>B  allocated &amp; closed same month</t>
  </si>
  <si>
    <t>212777029_1</t>
  </si>
  <si>
    <t>212777029</t>
  </si>
  <si>
    <t>Zain Properties India Private Limited</t>
  </si>
  <si>
    <t>213648882_1</t>
  </si>
  <si>
    <t>213648882</t>
  </si>
  <si>
    <t>Shri Hari Bai Rugnalay</t>
  </si>
  <si>
    <t>213657738_1</t>
  </si>
  <si>
    <t>213657738</t>
  </si>
  <si>
    <t>Geeta Plaza Lodge In</t>
  </si>
  <si>
    <t>212868874_1</t>
  </si>
  <si>
    <t>212868874</t>
  </si>
  <si>
    <t>Bhoomi Constructions</t>
  </si>
  <si>
    <t>213674281_1</t>
  </si>
  <si>
    <t>213674281</t>
  </si>
  <si>
    <t>HDFC Bank Limited</t>
  </si>
  <si>
    <t>213674417_1</t>
  </si>
  <si>
    <t>213674417</t>
  </si>
  <si>
    <t>Ananya Cardiac Superspeciality Hospital</t>
  </si>
  <si>
    <t>213677842_1</t>
  </si>
  <si>
    <t>213677842</t>
  </si>
  <si>
    <t>R. P. Hospital and Reaserch Institude</t>
  </si>
  <si>
    <t>213686905_1</t>
  </si>
  <si>
    <t>213686905</t>
  </si>
  <si>
    <t>MOTI NAMKEEN PRIVATE LIMITED</t>
  </si>
  <si>
    <t>213641214_1</t>
  </si>
  <si>
    <t>213641214</t>
  </si>
  <si>
    <t>Shantiswarup Servo Filling Station</t>
  </si>
  <si>
    <t>212875683_1</t>
  </si>
  <si>
    <t>212875683</t>
  </si>
  <si>
    <t>SHIVRAJE AGRO INDUSTRIES</t>
  </si>
  <si>
    <t>213236953_1</t>
  </si>
  <si>
    <t>213236953</t>
  </si>
  <si>
    <t>I-9 FREEWAYS PRIVATE LIMITED</t>
  </si>
  <si>
    <t>208263291_1</t>
  </si>
  <si>
    <t>208263291</t>
  </si>
  <si>
    <t>212878639_1</t>
  </si>
  <si>
    <t>212878639</t>
  </si>
  <si>
    <t>M/S : SAI CONSTRUCTIONS</t>
  </si>
  <si>
    <t>213671191_1</t>
  </si>
  <si>
    <t>213671191</t>
  </si>
  <si>
    <t>213671454_1</t>
  </si>
  <si>
    <t>213671454</t>
  </si>
  <si>
    <t>213685247_1</t>
  </si>
  <si>
    <t>213685247</t>
  </si>
  <si>
    <t>NUJLS GROUP INDIA</t>
  </si>
  <si>
    <t>213685586_1</t>
  </si>
  <si>
    <t>213685586</t>
  </si>
  <si>
    <t>213738497_1</t>
  </si>
  <si>
    <t>213738497</t>
  </si>
  <si>
    <t>Elevar Digitel Infrastructure Pvt Ltd</t>
  </si>
  <si>
    <t>211554247_1</t>
  </si>
  <si>
    <t>211554247</t>
  </si>
  <si>
    <t>YASH CONSTRUCTION COMPANY</t>
  </si>
  <si>
    <t>213742817_1</t>
  </si>
  <si>
    <t>213742817</t>
  </si>
  <si>
    <t>Linkwise Infratech Private Limited</t>
  </si>
  <si>
    <t>Warranty</t>
  </si>
  <si>
    <t>212873345_1</t>
  </si>
  <si>
    <t>212873345</t>
  </si>
  <si>
    <t>213749050_1</t>
  </si>
  <si>
    <t>213749050</t>
  </si>
  <si>
    <t>Vikram Chavhan.</t>
  </si>
  <si>
    <t>213736756_2</t>
  </si>
  <si>
    <t>213736756</t>
  </si>
  <si>
    <t>RP Hospital And Research Institute</t>
  </si>
  <si>
    <t>213749050_2</t>
  </si>
  <si>
    <t>213766373_1</t>
  </si>
  <si>
    <t>213766373</t>
  </si>
  <si>
    <t>SATISH RAMRAO CHAPHALE ...</t>
  </si>
  <si>
    <t>213766654_1</t>
  </si>
  <si>
    <t>213766654</t>
  </si>
  <si>
    <t>R B Ghodke Infrastructure Pvt. Ltd.</t>
  </si>
  <si>
    <t>213767577_1</t>
  </si>
  <si>
    <t>213767577</t>
  </si>
  <si>
    <t>213770738_1</t>
  </si>
  <si>
    <t>213770738</t>
  </si>
  <si>
    <t>NSPIRA MANAGEMENT SERVICES PRIVATE LIMITED</t>
  </si>
  <si>
    <t>213772240_1</t>
  </si>
  <si>
    <t>213772240</t>
  </si>
  <si>
    <t>Shankar Uttamarav Mundhe</t>
  </si>
  <si>
    <t>BLOCK C      allocated in Jul-2026,  NOT closed in Jul-2026        -&gt;   counts in ALLOCATED only        (7 records)</t>
  </si>
  <si>
    <t>C  carry-OUT, open at month end</t>
  </si>
  <si>
    <t>213266921_1</t>
  </si>
  <si>
    <t>213266921</t>
  </si>
  <si>
    <t>Kaushalya Kidney Care</t>
  </si>
  <si>
    <t>213649916_1</t>
  </si>
  <si>
    <t>213649916</t>
  </si>
  <si>
    <t>Devkrupa Bakers Pvt Ltd.</t>
  </si>
  <si>
    <t>Service Engineer Assigned</t>
  </si>
  <si>
    <t>213721573_1</t>
  </si>
  <si>
    <t>213721573</t>
  </si>
  <si>
    <t>Cancelled</t>
  </si>
  <si>
    <t>213685890_1</t>
  </si>
  <si>
    <t>213685890</t>
  </si>
  <si>
    <t>213686033_1</t>
  </si>
  <si>
    <t>213686033</t>
  </si>
  <si>
    <t>213656360_1</t>
  </si>
  <si>
    <t>213656360</t>
  </si>
  <si>
    <t>213756965_1</t>
  </si>
  <si>
    <t>213756965</t>
  </si>
  <si>
    <t>TOTAL for Jul-2026     -&gt;</t>
  </si>
  <si>
    <t>Read the two totals above:   ALLOCATED = 36,   CLOSED = 47.   Same engineer, same month, same file - the gap is only the month boundary.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</si>
</sst>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\-mmm\-yyyy\ hh:mm"/>
  </numFmts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595959"/>
      <name val="Calibri"/>
    </font>
    <font>
      <b/>
      <sz val="11"/>
      <color rgb="FF1F3864"/>
      <name val="Calibri"/>
    </font>
    <font>
      <b/>
      <sz val="11"/>
      <color rgb="FF1F3864"/>
      <name val="Calibri"/>
    </font>
    <font>
      <sz val="10.5"/>
      <name val="Calibri"/>
    </font>
    <font>
      <b/>
      <sz val="12"/>
      <color rgb="FF1F3864"/>
      <name val="Calibri"/>
    </font>
    <font>
      <i/>
      <sz val="9.5"/>
      <color rgb="FF595959"/>
      <name val="Calibri"/>
    </font>
    <font>
      <b/>
      <sz val="10.5"/>
      <name val="Calibri"/>
    </font>
    <font>
      <b/>
      <sz val="10.5"/>
      <color rgb="FF1F3864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sz val="10"/>
      <name val="Calibri"/>
    </font>
    <font>
      <b/>
      <sz val="10"/>
      <color rgb="FF1F6F3D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3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8EA9D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6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left" indent="1"/>
    </xf>
    <xf numFmtId="165" fontId="12" fillId="6" borderId="1" xfId="0" applyNumberFormat="1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left" indent="1"/>
    </xf>
    <xf numFmtId="165" fontId="12" fillId="8" borderId="1" xfId="0" applyNumberFormat="1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left" indent="1"/>
    </xf>
    <xf numFmtId="165" fontId="12" fillId="4" borderId="1" xfId="0" applyNumberFormat="1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0" fillId="0" borderId="0" xfId="0"/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14" fillId="7" borderId="0" xfId="0" applyFont="1" applyFill="1" applyAlignment="1">
      <alignment horizontal="left" vertical="center" indent="1"/>
    </xf>
    <xf numFmtId="0" fontId="0" fillId="7" borderId="0" xfId="0" applyFill="1"/>
    <xf numFmtId="0" fontId="9" fillId="5" borderId="0" xfId="0" applyFont="1" applyFill="1" applyAlignment="1">
      <alignment horizontal="left" vertical="center" wrapText="1" indent="1"/>
    </xf>
    <xf numFmtId="0" fontId="0" fillId="5" borderId="0" xfId="0" applyFill="1"/>
    <xf numFmtId="0" fontId="11" fillId="4" borderId="0" xfId="0" applyFont="1" applyFill="1" applyAlignment="1">
      <alignment horizontal="left" vertical="center" indent="1"/>
    </xf>
    <xf numFmtId="0" fontId="0" fillId="4" borderId="0" xfId="0" applyFill="1"/>
    <xf numFmtId="0" fontId="11" fillId="6" borderId="0" xfId="0" applyFont="1" applyFill="1" applyAlignment="1">
      <alignment horizontal="left" vertical="center" indent="1"/>
    </xf>
    <xf numFmtId="0" fontId="0" fillId="6" borderId="0" xfId="0" applyFill="1"/>
    <xf numFmtId="0" fontId="4" fillId="3" borderId="0" xfId="0" applyFont="1" applyFill="1" applyAlignment="1">
      <alignment horizontal="left" vertical="center" indent="1"/>
    </xf>
    <xf numFmtId="0" fontId="0" fillId="3" borderId="0" xfId="0" applyFill="1"/>
    <xf numFmtId="0" fontId="9" fillId="5" borderId="0" xfId="0" applyFont="1" applyFill="1" applyAlignment="1">
      <alignment horizontal="left" vertical="center" indent="1"/>
    </xf>
    <xf numFmtId="0" fontId="15" fillId="2" borderId="1" xfId="0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1"/>
  <sheetViews>
    <sheetView showGridLines="0" tabSelected="1" zoomScale="90" workbookViewId="0">
      <selection sqref="A1:K1"/>
    </sheetView>
  </sheetViews>
  <sheetFormatPr defaultRowHeight="15" x14ac:dyDescent="0.25"/>
  <cols>
    <col min="1" max="1" width="6" customWidth="1"/>
    <col min="2" max="2" width="32" customWidth="1"/>
    <col min="3" max="3" width="16" customWidth="1"/>
    <col min="4" max="4" width="12" customWidth="1"/>
    <col min="5" max="5" width="40" customWidth="1"/>
    <col min="6" max="6" width="17" customWidth="1"/>
    <col min="7" max="7" width="26" customWidth="1"/>
    <col min="8" max="9" width="20" customWidth="1"/>
    <col min="10" max="11" width="14" customWidth="1"/>
  </cols>
  <sheetData>
    <row r="1" spans="1:11" ht="30" customHeight="1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3" spans="1:11" ht="17.100000000000001" customHeight="1" x14ac:dyDescent="0.25">
      <c r="A3" s="22" t="s">
        <v>1</v>
      </c>
      <c r="B3" s="17"/>
      <c r="C3" s="18" t="s">
        <v>2</v>
      </c>
      <c r="D3" s="17"/>
      <c r="E3" s="17"/>
      <c r="F3" s="17"/>
      <c r="G3" s="17"/>
    </row>
    <row r="4" spans="1:11" ht="17.100000000000001" customHeight="1" x14ac:dyDescent="0.25">
      <c r="A4" s="22" t="s">
        <v>3</v>
      </c>
      <c r="B4" s="17"/>
      <c r="C4" s="18" t="s">
        <v>4</v>
      </c>
      <c r="D4" s="17"/>
      <c r="E4" s="17"/>
      <c r="F4" s="17"/>
      <c r="G4" s="17"/>
    </row>
    <row r="5" spans="1:11" ht="17.100000000000001" customHeight="1" x14ac:dyDescent="0.25">
      <c r="A5" s="22" t="s">
        <v>5</v>
      </c>
      <c r="B5" s="17"/>
      <c r="C5" s="18" t="s">
        <v>6</v>
      </c>
      <c r="D5" s="17"/>
      <c r="E5" s="17"/>
      <c r="F5" s="17"/>
      <c r="G5" s="17"/>
    </row>
    <row r="6" spans="1:11" ht="17.100000000000001" customHeight="1" x14ac:dyDescent="0.25">
      <c r="A6" s="22" t="s">
        <v>7</v>
      </c>
      <c r="B6" s="17"/>
      <c r="C6" s="18" t="s">
        <v>8</v>
      </c>
      <c r="D6" s="17"/>
      <c r="E6" s="17"/>
      <c r="F6" s="17"/>
      <c r="G6" s="17"/>
    </row>
    <row r="7" spans="1:11" ht="17.100000000000001" customHeight="1" x14ac:dyDescent="0.25">
      <c r="A7" s="22" t="s">
        <v>9</v>
      </c>
      <c r="B7" s="17"/>
      <c r="C7" s="18" t="s">
        <v>10</v>
      </c>
      <c r="D7" s="17"/>
      <c r="E7" s="17"/>
      <c r="F7" s="17"/>
      <c r="G7" s="17"/>
    </row>
    <row r="9" spans="1:11" ht="20.100000000000001" customHeight="1" x14ac:dyDescent="0.25">
      <c r="A9" s="32" t="s">
        <v>11</v>
      </c>
      <c r="B9" s="33"/>
      <c r="C9" s="33"/>
      <c r="D9" s="33"/>
      <c r="E9" s="33"/>
      <c r="F9" s="33"/>
      <c r="G9" s="33"/>
      <c r="H9" s="33"/>
      <c r="I9" s="33"/>
      <c r="J9" s="33"/>
      <c r="K9" s="33"/>
    </row>
    <row r="10" spans="1:11" ht="18" customHeight="1" x14ac:dyDescent="0.25">
      <c r="A10" s="19" t="s">
        <v>12</v>
      </c>
      <c r="B10" s="17"/>
      <c r="C10" s="17"/>
      <c r="D10" s="17"/>
      <c r="E10" s="17"/>
      <c r="F10" s="1">
        <v>36</v>
      </c>
      <c r="G10" s="16" t="s">
        <v>13</v>
      </c>
      <c r="H10" s="17"/>
      <c r="I10" s="17"/>
      <c r="J10" s="17"/>
      <c r="K10" s="17"/>
    </row>
    <row r="11" spans="1:11" ht="18" customHeight="1" x14ac:dyDescent="0.25">
      <c r="A11" s="19" t="s">
        <v>14</v>
      </c>
      <c r="B11" s="17"/>
      <c r="C11" s="17"/>
      <c r="D11" s="17"/>
      <c r="E11" s="17"/>
      <c r="F11" s="1">
        <v>47</v>
      </c>
      <c r="G11" s="16" t="s">
        <v>15</v>
      </c>
      <c r="H11" s="17"/>
      <c r="I11" s="17"/>
      <c r="J11" s="17"/>
      <c r="K11" s="17"/>
    </row>
    <row r="12" spans="1:11" ht="18" customHeight="1" x14ac:dyDescent="0.25">
      <c r="A12" s="23" t="s">
        <v>16</v>
      </c>
      <c r="B12" s="17"/>
      <c r="C12" s="17"/>
      <c r="D12" s="17"/>
      <c r="E12" s="17"/>
      <c r="F12" s="1">
        <v>11</v>
      </c>
      <c r="G12" s="16" t="s">
        <v>17</v>
      </c>
      <c r="H12" s="17"/>
      <c r="I12" s="17"/>
      <c r="J12" s="17"/>
      <c r="K12" s="17"/>
    </row>
    <row r="13" spans="1:11" ht="6" customHeight="1" x14ac:dyDescent="0.25"/>
    <row r="14" spans="1:11" ht="18" customHeight="1" x14ac:dyDescent="0.25">
      <c r="A14" s="19" t="s">
        <v>18</v>
      </c>
      <c r="B14" s="17"/>
      <c r="C14" s="17"/>
      <c r="D14" s="17"/>
      <c r="E14" s="17"/>
      <c r="F14" s="1">
        <v>18</v>
      </c>
      <c r="G14" s="16" t="s">
        <v>19</v>
      </c>
      <c r="H14" s="17"/>
      <c r="I14" s="17"/>
      <c r="J14" s="17"/>
      <c r="K14" s="17"/>
    </row>
    <row r="15" spans="1:11" ht="18" customHeight="1" x14ac:dyDescent="0.25">
      <c r="A15" s="19" t="s">
        <v>20</v>
      </c>
      <c r="B15" s="17"/>
      <c r="C15" s="17"/>
      <c r="D15" s="17"/>
      <c r="E15" s="17"/>
      <c r="F15" s="1">
        <v>7</v>
      </c>
      <c r="G15" s="16" t="s">
        <v>21</v>
      </c>
      <c r="H15" s="17"/>
      <c r="I15" s="17"/>
      <c r="J15" s="17"/>
      <c r="K15" s="17"/>
    </row>
    <row r="16" spans="1:11" ht="18" customHeight="1" x14ac:dyDescent="0.25">
      <c r="A16" s="23" t="s">
        <v>22</v>
      </c>
      <c r="B16" s="17"/>
      <c r="C16" s="17"/>
      <c r="D16" s="17"/>
      <c r="E16" s="17"/>
      <c r="F16" s="1">
        <v>11</v>
      </c>
      <c r="G16" s="16" t="s">
        <v>23</v>
      </c>
      <c r="H16" s="17"/>
      <c r="I16" s="17"/>
      <c r="J16" s="17"/>
      <c r="K16" s="17"/>
    </row>
    <row r="18" spans="1:11" ht="33.950000000000003" customHeight="1" x14ac:dyDescent="0.25">
      <c r="A18" s="26" t="s">
        <v>24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20" spans="1:11" ht="20.100000000000001" customHeight="1" x14ac:dyDescent="0.25">
      <c r="A20" s="32" t="s">
        <v>25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 spans="1:11" ht="33.950000000000003" customHeight="1" x14ac:dyDescent="0.25">
      <c r="A21" s="2" t="s">
        <v>26</v>
      </c>
      <c r="B21" s="2" t="s">
        <v>27</v>
      </c>
      <c r="C21" s="2" t="s">
        <v>28</v>
      </c>
      <c r="D21" s="2" t="s">
        <v>29</v>
      </c>
      <c r="E21" s="2" t="s">
        <v>30</v>
      </c>
      <c r="F21" s="2" t="s">
        <v>31</v>
      </c>
      <c r="G21" s="2" t="s">
        <v>32</v>
      </c>
      <c r="H21" s="2" t="s">
        <v>33</v>
      </c>
      <c r="I21" s="2" t="s">
        <v>34</v>
      </c>
      <c r="J21" s="2" t="s">
        <v>35</v>
      </c>
      <c r="K21" s="2" t="s">
        <v>36</v>
      </c>
    </row>
    <row r="22" spans="1:11" ht="20.100000000000001" customHeight="1" x14ac:dyDescent="0.25">
      <c r="A22" s="30" t="s">
        <v>37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</row>
    <row r="23" spans="1:11" ht="15.95" customHeight="1" x14ac:dyDescent="0.25">
      <c r="A23" s="3">
        <v>1</v>
      </c>
      <c r="B23" s="4" t="s">
        <v>38</v>
      </c>
      <c r="C23" s="3" t="s">
        <v>39</v>
      </c>
      <c r="D23" s="3" t="s">
        <v>40</v>
      </c>
      <c r="E23" s="4" t="s">
        <v>41</v>
      </c>
      <c r="F23" s="4" t="s">
        <v>42</v>
      </c>
      <c r="G23" s="4" t="s">
        <v>43</v>
      </c>
      <c r="H23" s="5">
        <v>46171.538194444453</v>
      </c>
      <c r="I23" s="5">
        <v>46220.520138888889</v>
      </c>
      <c r="J23" s="3"/>
      <c r="K23" s="6" t="s">
        <v>44</v>
      </c>
    </row>
    <row r="24" spans="1:11" ht="15.95" customHeight="1" x14ac:dyDescent="0.25">
      <c r="A24" s="3">
        <v>2</v>
      </c>
      <c r="B24" s="4" t="s">
        <v>38</v>
      </c>
      <c r="C24" s="3" t="s">
        <v>45</v>
      </c>
      <c r="D24" s="3" t="s">
        <v>46</v>
      </c>
      <c r="E24" s="4" t="s">
        <v>47</v>
      </c>
      <c r="F24" s="4" t="s">
        <v>48</v>
      </c>
      <c r="G24" s="4" t="s">
        <v>43</v>
      </c>
      <c r="H24" s="5">
        <v>46185.609722222223</v>
      </c>
      <c r="I24" s="5">
        <v>46208.945138888892</v>
      </c>
      <c r="J24" s="3"/>
      <c r="K24" s="6" t="s">
        <v>44</v>
      </c>
    </row>
    <row r="25" spans="1:11" ht="15.95" customHeight="1" x14ac:dyDescent="0.25">
      <c r="A25" s="3">
        <v>3</v>
      </c>
      <c r="B25" s="4" t="s">
        <v>38</v>
      </c>
      <c r="C25" s="3" t="s">
        <v>49</v>
      </c>
      <c r="D25" s="3" t="s">
        <v>50</v>
      </c>
      <c r="E25" s="4" t="s">
        <v>51</v>
      </c>
      <c r="F25" s="4" t="s">
        <v>52</v>
      </c>
      <c r="G25" s="4" t="s">
        <v>43</v>
      </c>
      <c r="H25" s="5">
        <v>46185.611805555563</v>
      </c>
      <c r="I25" s="5">
        <v>46215.388888888891</v>
      </c>
      <c r="J25" s="3"/>
      <c r="K25" s="6" t="s">
        <v>44</v>
      </c>
    </row>
    <row r="26" spans="1:11" ht="15.95" customHeight="1" x14ac:dyDescent="0.25">
      <c r="A26" s="3">
        <v>4</v>
      </c>
      <c r="B26" s="4" t="s">
        <v>38</v>
      </c>
      <c r="C26" s="3" t="s">
        <v>53</v>
      </c>
      <c r="D26" s="3" t="s">
        <v>54</v>
      </c>
      <c r="E26" s="4" t="s">
        <v>51</v>
      </c>
      <c r="F26" s="4" t="s">
        <v>52</v>
      </c>
      <c r="G26" s="4" t="s">
        <v>43</v>
      </c>
      <c r="H26" s="5">
        <v>46185.612500000003</v>
      </c>
      <c r="I26" s="5">
        <v>46214.370138888888</v>
      </c>
      <c r="J26" s="3"/>
      <c r="K26" s="6" t="s">
        <v>44</v>
      </c>
    </row>
    <row r="27" spans="1:11" ht="15.95" customHeight="1" x14ac:dyDescent="0.25">
      <c r="A27" s="3">
        <v>5</v>
      </c>
      <c r="B27" s="4" t="s">
        <v>38</v>
      </c>
      <c r="C27" s="3" t="s">
        <v>55</v>
      </c>
      <c r="D27" s="3" t="s">
        <v>56</v>
      </c>
      <c r="E27" s="4" t="s">
        <v>51</v>
      </c>
      <c r="F27" s="4" t="s">
        <v>52</v>
      </c>
      <c r="G27" s="4" t="s">
        <v>43</v>
      </c>
      <c r="H27" s="5">
        <v>46185.612500000003</v>
      </c>
      <c r="I27" s="5">
        <v>46225.32708333333</v>
      </c>
      <c r="J27" s="3"/>
      <c r="K27" s="6" t="s">
        <v>44</v>
      </c>
    </row>
    <row r="28" spans="1:11" ht="15.95" customHeight="1" x14ac:dyDescent="0.25">
      <c r="A28" s="3">
        <v>6</v>
      </c>
      <c r="B28" s="4" t="s">
        <v>38</v>
      </c>
      <c r="C28" s="3" t="s">
        <v>57</v>
      </c>
      <c r="D28" s="3" t="s">
        <v>58</v>
      </c>
      <c r="E28" s="4" t="s">
        <v>59</v>
      </c>
      <c r="F28" s="4" t="s">
        <v>60</v>
      </c>
      <c r="G28" s="4" t="s">
        <v>43</v>
      </c>
      <c r="H28" s="5">
        <v>46190.433333333327</v>
      </c>
      <c r="I28" s="5">
        <v>46208.479861111111</v>
      </c>
      <c r="J28" s="3"/>
      <c r="K28" s="6" t="s">
        <v>44</v>
      </c>
    </row>
    <row r="29" spans="1:11" ht="15.95" customHeight="1" x14ac:dyDescent="0.25">
      <c r="A29" s="3">
        <v>7</v>
      </c>
      <c r="B29" s="4" t="s">
        <v>38</v>
      </c>
      <c r="C29" s="3" t="s">
        <v>61</v>
      </c>
      <c r="D29" s="3" t="s">
        <v>62</v>
      </c>
      <c r="E29" s="4" t="s">
        <v>63</v>
      </c>
      <c r="F29" s="4" t="s">
        <v>60</v>
      </c>
      <c r="G29" s="4" t="s">
        <v>43</v>
      </c>
      <c r="H29" s="5">
        <v>46197.647916666669</v>
      </c>
      <c r="I29" s="5">
        <v>46204.969444444447</v>
      </c>
      <c r="J29" s="3"/>
      <c r="K29" s="6" t="s">
        <v>44</v>
      </c>
    </row>
    <row r="30" spans="1:11" ht="15.95" customHeight="1" x14ac:dyDescent="0.25">
      <c r="A30" s="3">
        <v>8</v>
      </c>
      <c r="B30" s="4" t="s">
        <v>38</v>
      </c>
      <c r="C30" s="3" t="s">
        <v>64</v>
      </c>
      <c r="D30" s="3" t="s">
        <v>65</v>
      </c>
      <c r="E30" s="4" t="s">
        <v>66</v>
      </c>
      <c r="F30" s="4" t="s">
        <v>67</v>
      </c>
      <c r="G30" s="4" t="s">
        <v>43</v>
      </c>
      <c r="H30" s="5">
        <v>46200.681944444441</v>
      </c>
      <c r="I30" s="5">
        <v>46208.487500000003</v>
      </c>
      <c r="J30" s="3"/>
      <c r="K30" s="6" t="s">
        <v>44</v>
      </c>
    </row>
    <row r="31" spans="1:11" ht="15.95" customHeight="1" x14ac:dyDescent="0.25">
      <c r="A31" s="3">
        <v>9</v>
      </c>
      <c r="B31" s="4" t="s">
        <v>38</v>
      </c>
      <c r="C31" s="3" t="s">
        <v>68</v>
      </c>
      <c r="D31" s="3" t="s">
        <v>69</v>
      </c>
      <c r="E31" s="4" t="s">
        <v>70</v>
      </c>
      <c r="F31" s="4" t="s">
        <v>71</v>
      </c>
      <c r="G31" s="4" t="s">
        <v>43</v>
      </c>
      <c r="H31" s="5">
        <v>46202.441666666673</v>
      </c>
      <c r="I31" s="5">
        <v>46204.537499999999</v>
      </c>
      <c r="J31" s="3"/>
      <c r="K31" s="6" t="s">
        <v>44</v>
      </c>
    </row>
    <row r="32" spans="1:11" ht="15.95" customHeight="1" x14ac:dyDescent="0.25">
      <c r="A32" s="3">
        <v>10</v>
      </c>
      <c r="B32" s="4" t="s">
        <v>38</v>
      </c>
      <c r="C32" s="3" t="s">
        <v>72</v>
      </c>
      <c r="D32" s="3" t="s">
        <v>73</v>
      </c>
      <c r="E32" s="4" t="s">
        <v>74</v>
      </c>
      <c r="F32" s="4" t="s">
        <v>52</v>
      </c>
      <c r="G32" s="4" t="s">
        <v>43</v>
      </c>
      <c r="H32" s="5">
        <v>46202.46597222222</v>
      </c>
      <c r="I32" s="5">
        <v>46225.308333333327</v>
      </c>
      <c r="J32" s="3"/>
      <c r="K32" s="6" t="s">
        <v>44</v>
      </c>
    </row>
    <row r="33" spans="1:11" ht="15.95" customHeight="1" x14ac:dyDescent="0.25">
      <c r="A33" s="3">
        <v>11</v>
      </c>
      <c r="B33" s="4" t="s">
        <v>38</v>
      </c>
      <c r="C33" s="3" t="s">
        <v>75</v>
      </c>
      <c r="D33" s="3" t="s">
        <v>76</v>
      </c>
      <c r="E33" s="4" t="s">
        <v>77</v>
      </c>
      <c r="F33" s="4" t="s">
        <v>52</v>
      </c>
      <c r="G33" s="4" t="s">
        <v>43</v>
      </c>
      <c r="H33" s="5">
        <v>46202.466666666667</v>
      </c>
      <c r="I33" s="5">
        <v>46227.361805555563</v>
      </c>
      <c r="J33" s="3"/>
      <c r="K33" s="6" t="s">
        <v>44</v>
      </c>
    </row>
    <row r="34" spans="1:11" ht="15.95" customHeight="1" x14ac:dyDescent="0.25">
      <c r="A34" s="3">
        <v>12</v>
      </c>
      <c r="B34" s="4" t="s">
        <v>38</v>
      </c>
      <c r="C34" s="3" t="s">
        <v>78</v>
      </c>
      <c r="D34" s="3" t="s">
        <v>79</v>
      </c>
      <c r="E34" s="4" t="s">
        <v>80</v>
      </c>
      <c r="F34" s="4" t="s">
        <v>52</v>
      </c>
      <c r="G34" s="4" t="s">
        <v>43</v>
      </c>
      <c r="H34" s="5">
        <v>46202.467361111107</v>
      </c>
      <c r="I34" s="5">
        <v>46204.961805555547</v>
      </c>
      <c r="J34" s="3"/>
      <c r="K34" s="6" t="s">
        <v>44</v>
      </c>
    </row>
    <row r="35" spans="1:11" ht="15.95" customHeight="1" x14ac:dyDescent="0.25">
      <c r="A35" s="3">
        <v>13</v>
      </c>
      <c r="B35" s="4" t="s">
        <v>38</v>
      </c>
      <c r="C35" s="3" t="s">
        <v>81</v>
      </c>
      <c r="D35" s="3" t="s">
        <v>82</v>
      </c>
      <c r="E35" s="4" t="s">
        <v>83</v>
      </c>
      <c r="F35" s="4" t="s">
        <v>52</v>
      </c>
      <c r="G35" s="4" t="s">
        <v>43</v>
      </c>
      <c r="H35" s="5">
        <v>46202.468055555553</v>
      </c>
      <c r="I35" s="5">
        <v>46204.979861111111</v>
      </c>
      <c r="J35" s="3"/>
      <c r="K35" s="6" t="s">
        <v>44</v>
      </c>
    </row>
    <row r="36" spans="1:11" ht="15.95" customHeight="1" x14ac:dyDescent="0.25">
      <c r="A36" s="3">
        <v>14</v>
      </c>
      <c r="B36" s="4" t="s">
        <v>38</v>
      </c>
      <c r="C36" s="3" t="s">
        <v>84</v>
      </c>
      <c r="D36" s="3" t="s">
        <v>85</v>
      </c>
      <c r="E36" s="4" t="s">
        <v>86</v>
      </c>
      <c r="F36" s="4" t="s">
        <v>52</v>
      </c>
      <c r="G36" s="4" t="s">
        <v>43</v>
      </c>
      <c r="H36" s="5">
        <v>46202.468055555553</v>
      </c>
      <c r="I36" s="5">
        <v>46209.54791666667</v>
      </c>
      <c r="J36" s="3"/>
      <c r="K36" s="6" t="s">
        <v>44</v>
      </c>
    </row>
    <row r="37" spans="1:11" ht="15.95" customHeight="1" x14ac:dyDescent="0.25">
      <c r="A37" s="3">
        <v>15</v>
      </c>
      <c r="B37" s="4" t="s">
        <v>38</v>
      </c>
      <c r="C37" s="3" t="s">
        <v>87</v>
      </c>
      <c r="D37" s="3" t="s">
        <v>88</v>
      </c>
      <c r="E37" s="4" t="s">
        <v>89</v>
      </c>
      <c r="F37" s="4" t="s">
        <v>52</v>
      </c>
      <c r="G37" s="4" t="s">
        <v>43</v>
      </c>
      <c r="H37" s="5">
        <v>46202.46875</v>
      </c>
      <c r="I37" s="5">
        <v>46208.87777777778</v>
      </c>
      <c r="J37" s="3"/>
      <c r="K37" s="6" t="s">
        <v>44</v>
      </c>
    </row>
    <row r="38" spans="1:11" ht="15.95" customHeight="1" x14ac:dyDescent="0.25">
      <c r="A38" s="3">
        <v>16</v>
      </c>
      <c r="B38" s="4" t="s">
        <v>38</v>
      </c>
      <c r="C38" s="3" t="s">
        <v>90</v>
      </c>
      <c r="D38" s="3" t="s">
        <v>91</v>
      </c>
      <c r="E38" s="4" t="s">
        <v>92</v>
      </c>
      <c r="F38" s="4" t="s">
        <v>48</v>
      </c>
      <c r="G38" s="4" t="s">
        <v>43</v>
      </c>
      <c r="H38" s="5">
        <v>46203.412499999999</v>
      </c>
      <c r="I38" s="5">
        <v>46208.956944444442</v>
      </c>
      <c r="J38" s="3"/>
      <c r="K38" s="6" t="s">
        <v>44</v>
      </c>
    </row>
    <row r="39" spans="1:11" ht="15.95" customHeight="1" x14ac:dyDescent="0.25">
      <c r="A39" s="3">
        <v>17</v>
      </c>
      <c r="B39" s="4" t="s">
        <v>38</v>
      </c>
      <c r="C39" s="3" t="s">
        <v>93</v>
      </c>
      <c r="D39" s="3" t="s">
        <v>94</v>
      </c>
      <c r="E39" s="4" t="s">
        <v>95</v>
      </c>
      <c r="F39" s="4" t="s">
        <v>52</v>
      </c>
      <c r="G39" s="4" t="s">
        <v>43</v>
      </c>
      <c r="H39" s="5">
        <v>46203.419444444437</v>
      </c>
      <c r="I39" s="5">
        <v>46212.57708333333</v>
      </c>
      <c r="J39" s="3"/>
      <c r="K39" s="6" t="s">
        <v>44</v>
      </c>
    </row>
    <row r="40" spans="1:11" ht="15.95" customHeight="1" x14ac:dyDescent="0.25">
      <c r="A40" s="3">
        <v>18</v>
      </c>
      <c r="B40" s="4" t="s">
        <v>38</v>
      </c>
      <c r="C40" s="3" t="s">
        <v>96</v>
      </c>
      <c r="D40" s="3" t="s">
        <v>97</v>
      </c>
      <c r="E40" s="4" t="s">
        <v>98</v>
      </c>
      <c r="F40" s="4" t="s">
        <v>67</v>
      </c>
      <c r="G40" s="4" t="s">
        <v>43</v>
      </c>
      <c r="H40" s="5">
        <v>46203.457638888889</v>
      </c>
      <c r="I40" s="5">
        <v>46204.948611111111</v>
      </c>
      <c r="J40" s="3"/>
      <c r="K40" s="6" t="s">
        <v>44</v>
      </c>
    </row>
    <row r="41" spans="1:11" ht="20.100000000000001" customHeight="1" x14ac:dyDescent="0.25">
      <c r="A41" s="24" t="s">
        <v>99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1:11" ht="15.95" customHeight="1" x14ac:dyDescent="0.25">
      <c r="A42" s="7">
        <v>19</v>
      </c>
      <c r="B42" s="8" t="s">
        <v>100</v>
      </c>
      <c r="C42" s="7" t="s">
        <v>101</v>
      </c>
      <c r="D42" s="7" t="s">
        <v>102</v>
      </c>
      <c r="E42" s="8" t="s">
        <v>103</v>
      </c>
      <c r="F42" s="8" t="s">
        <v>52</v>
      </c>
      <c r="G42" s="8" t="s">
        <v>43</v>
      </c>
      <c r="H42" s="9">
        <v>46205.69027777778</v>
      </c>
      <c r="I42" s="9">
        <v>46208.813888888893</v>
      </c>
      <c r="J42" s="10" t="s">
        <v>44</v>
      </c>
      <c r="K42" s="10" t="s">
        <v>44</v>
      </c>
    </row>
    <row r="43" spans="1:11" ht="15.95" customHeight="1" x14ac:dyDescent="0.25">
      <c r="A43" s="7">
        <v>20</v>
      </c>
      <c r="B43" s="8" t="s">
        <v>100</v>
      </c>
      <c r="C43" s="7" t="s">
        <v>104</v>
      </c>
      <c r="D43" s="7" t="s">
        <v>105</v>
      </c>
      <c r="E43" s="8" t="s">
        <v>106</v>
      </c>
      <c r="F43" s="8" t="s">
        <v>52</v>
      </c>
      <c r="G43" s="8" t="s">
        <v>43</v>
      </c>
      <c r="H43" s="9">
        <v>46207.465277777781</v>
      </c>
      <c r="I43" s="9">
        <v>46208.383333333331</v>
      </c>
      <c r="J43" s="10" t="s">
        <v>44</v>
      </c>
      <c r="K43" s="10" t="s">
        <v>44</v>
      </c>
    </row>
    <row r="44" spans="1:11" ht="15.95" customHeight="1" x14ac:dyDescent="0.25">
      <c r="A44" s="7">
        <v>21</v>
      </c>
      <c r="B44" s="8" t="s">
        <v>100</v>
      </c>
      <c r="C44" s="7" t="s">
        <v>107</v>
      </c>
      <c r="D44" s="7" t="s">
        <v>108</v>
      </c>
      <c r="E44" s="8" t="s">
        <v>109</v>
      </c>
      <c r="F44" s="8" t="s">
        <v>52</v>
      </c>
      <c r="G44" s="8" t="s">
        <v>43</v>
      </c>
      <c r="H44" s="9">
        <v>46207.466666666667</v>
      </c>
      <c r="I44" s="9">
        <v>46212.348611111112</v>
      </c>
      <c r="J44" s="10" t="s">
        <v>44</v>
      </c>
      <c r="K44" s="10" t="s">
        <v>44</v>
      </c>
    </row>
    <row r="45" spans="1:11" ht="15.95" customHeight="1" x14ac:dyDescent="0.25">
      <c r="A45" s="7">
        <v>22</v>
      </c>
      <c r="B45" s="8" t="s">
        <v>100</v>
      </c>
      <c r="C45" s="7" t="s">
        <v>110</v>
      </c>
      <c r="D45" s="7" t="s">
        <v>111</v>
      </c>
      <c r="E45" s="8" t="s">
        <v>112</v>
      </c>
      <c r="F45" s="8" t="s">
        <v>52</v>
      </c>
      <c r="G45" s="8" t="s">
        <v>43</v>
      </c>
      <c r="H45" s="9">
        <v>46210.582638888889</v>
      </c>
      <c r="I45" s="9">
        <v>46224.634722222218</v>
      </c>
      <c r="J45" s="10" t="s">
        <v>44</v>
      </c>
      <c r="K45" s="10" t="s">
        <v>44</v>
      </c>
    </row>
    <row r="46" spans="1:11" ht="15.95" customHeight="1" x14ac:dyDescent="0.25">
      <c r="A46" s="7">
        <v>23</v>
      </c>
      <c r="B46" s="8" t="s">
        <v>100</v>
      </c>
      <c r="C46" s="7" t="s">
        <v>113</v>
      </c>
      <c r="D46" s="7" t="s">
        <v>114</v>
      </c>
      <c r="E46" s="8" t="s">
        <v>115</v>
      </c>
      <c r="F46" s="8" t="s">
        <v>42</v>
      </c>
      <c r="G46" s="8" t="s">
        <v>43</v>
      </c>
      <c r="H46" s="9">
        <v>46211.444444444453</v>
      </c>
      <c r="I46" s="9">
        <v>46213.53402777778</v>
      </c>
      <c r="J46" s="10" t="s">
        <v>44</v>
      </c>
      <c r="K46" s="10" t="s">
        <v>44</v>
      </c>
    </row>
    <row r="47" spans="1:11" ht="15.95" customHeight="1" x14ac:dyDescent="0.25">
      <c r="A47" s="7">
        <v>24</v>
      </c>
      <c r="B47" s="8" t="s">
        <v>100</v>
      </c>
      <c r="C47" s="7" t="s">
        <v>116</v>
      </c>
      <c r="D47" s="7" t="s">
        <v>117</v>
      </c>
      <c r="E47" s="8" t="s">
        <v>118</v>
      </c>
      <c r="F47" s="8" t="s">
        <v>71</v>
      </c>
      <c r="G47" s="8" t="s">
        <v>43</v>
      </c>
      <c r="H47" s="9">
        <v>46211.525000000001</v>
      </c>
      <c r="I47" s="9">
        <v>46212.559027777781</v>
      </c>
      <c r="J47" s="10" t="s">
        <v>44</v>
      </c>
      <c r="K47" s="10" t="s">
        <v>44</v>
      </c>
    </row>
    <row r="48" spans="1:11" ht="15.95" customHeight="1" x14ac:dyDescent="0.25">
      <c r="A48" s="7">
        <v>25</v>
      </c>
      <c r="B48" s="8" t="s">
        <v>100</v>
      </c>
      <c r="C48" s="7" t="s">
        <v>119</v>
      </c>
      <c r="D48" s="7" t="s">
        <v>120</v>
      </c>
      <c r="E48" s="8" t="s">
        <v>121</v>
      </c>
      <c r="F48" s="8" t="s">
        <v>67</v>
      </c>
      <c r="G48" s="8" t="s">
        <v>43</v>
      </c>
      <c r="H48" s="9">
        <v>46211.70416666667</v>
      </c>
      <c r="I48" s="9">
        <v>46230.629166666673</v>
      </c>
      <c r="J48" s="10" t="s">
        <v>44</v>
      </c>
      <c r="K48" s="10" t="s">
        <v>44</v>
      </c>
    </row>
    <row r="49" spans="1:11" ht="15.95" customHeight="1" x14ac:dyDescent="0.25">
      <c r="A49" s="7">
        <v>26</v>
      </c>
      <c r="B49" s="8" t="s">
        <v>100</v>
      </c>
      <c r="C49" s="7" t="s">
        <v>122</v>
      </c>
      <c r="D49" s="7" t="s">
        <v>123</v>
      </c>
      <c r="E49" s="8" t="s">
        <v>124</v>
      </c>
      <c r="F49" s="8" t="s">
        <v>71</v>
      </c>
      <c r="G49" s="8" t="s">
        <v>43</v>
      </c>
      <c r="H49" s="9">
        <v>46214.384722222218</v>
      </c>
      <c r="I49" s="9">
        <v>46217.356944444437</v>
      </c>
      <c r="J49" s="10" t="s">
        <v>44</v>
      </c>
      <c r="K49" s="10" t="s">
        <v>44</v>
      </c>
    </row>
    <row r="50" spans="1:11" ht="15.95" customHeight="1" x14ac:dyDescent="0.25">
      <c r="A50" s="7">
        <v>27</v>
      </c>
      <c r="B50" s="8" t="s">
        <v>100</v>
      </c>
      <c r="C50" s="7" t="s">
        <v>125</v>
      </c>
      <c r="D50" s="7" t="s">
        <v>126</v>
      </c>
      <c r="E50" s="8" t="s">
        <v>127</v>
      </c>
      <c r="F50" s="8" t="s">
        <v>48</v>
      </c>
      <c r="G50" s="8" t="s">
        <v>43</v>
      </c>
      <c r="H50" s="9">
        <v>46214.623611111107</v>
      </c>
      <c r="I50" s="9">
        <v>46229.674305555563</v>
      </c>
      <c r="J50" s="10" t="s">
        <v>44</v>
      </c>
      <c r="K50" s="10" t="s">
        <v>44</v>
      </c>
    </row>
    <row r="51" spans="1:11" ht="15.95" customHeight="1" x14ac:dyDescent="0.25">
      <c r="A51" s="7">
        <v>28</v>
      </c>
      <c r="B51" s="8" t="s">
        <v>100</v>
      </c>
      <c r="C51" s="7" t="s">
        <v>128</v>
      </c>
      <c r="D51" s="7" t="s">
        <v>129</v>
      </c>
      <c r="E51" s="8" t="s">
        <v>130</v>
      </c>
      <c r="F51" s="8" t="s">
        <v>52</v>
      </c>
      <c r="G51" s="8" t="s">
        <v>43</v>
      </c>
      <c r="H51" s="9">
        <v>46214.634722222218</v>
      </c>
      <c r="I51" s="9">
        <v>46227.376388888893</v>
      </c>
      <c r="J51" s="10" t="s">
        <v>44</v>
      </c>
      <c r="K51" s="10" t="s">
        <v>44</v>
      </c>
    </row>
    <row r="52" spans="1:11" ht="15.95" customHeight="1" x14ac:dyDescent="0.25">
      <c r="A52" s="7">
        <v>29</v>
      </c>
      <c r="B52" s="8" t="s">
        <v>100</v>
      </c>
      <c r="C52" s="7" t="s">
        <v>131</v>
      </c>
      <c r="D52" s="7" t="s">
        <v>132</v>
      </c>
      <c r="E52" s="8" t="s">
        <v>133</v>
      </c>
      <c r="F52" s="8" t="s">
        <v>52</v>
      </c>
      <c r="G52" s="8" t="s">
        <v>43</v>
      </c>
      <c r="H52" s="9">
        <v>46216.611805555563</v>
      </c>
      <c r="I52" s="9">
        <v>46231.453472222223</v>
      </c>
      <c r="J52" s="10" t="s">
        <v>44</v>
      </c>
      <c r="K52" s="10" t="s">
        <v>44</v>
      </c>
    </row>
    <row r="53" spans="1:11" ht="15.95" customHeight="1" x14ac:dyDescent="0.25">
      <c r="A53" s="7">
        <v>30</v>
      </c>
      <c r="B53" s="8" t="s">
        <v>100</v>
      </c>
      <c r="C53" s="7" t="s">
        <v>134</v>
      </c>
      <c r="D53" s="7" t="s">
        <v>135</v>
      </c>
      <c r="E53" s="8" t="s">
        <v>118</v>
      </c>
      <c r="F53" s="8" t="s">
        <v>71</v>
      </c>
      <c r="G53" s="8" t="s">
        <v>43</v>
      </c>
      <c r="H53" s="9">
        <v>46218.644444444442</v>
      </c>
      <c r="I53" s="9">
        <v>46223.636805555558</v>
      </c>
      <c r="J53" s="10" t="s">
        <v>44</v>
      </c>
      <c r="K53" s="10" t="s">
        <v>44</v>
      </c>
    </row>
    <row r="54" spans="1:11" ht="15.95" customHeight="1" x14ac:dyDescent="0.25">
      <c r="A54" s="7">
        <v>31</v>
      </c>
      <c r="B54" s="8" t="s">
        <v>100</v>
      </c>
      <c r="C54" s="7" t="s">
        <v>136</v>
      </c>
      <c r="D54" s="7" t="s">
        <v>137</v>
      </c>
      <c r="E54" s="8" t="s">
        <v>138</v>
      </c>
      <c r="F54" s="8" t="s">
        <v>52</v>
      </c>
      <c r="G54" s="8" t="s">
        <v>43</v>
      </c>
      <c r="H54" s="9">
        <v>46218.667361111111</v>
      </c>
      <c r="I54" s="9">
        <v>46224.411111111112</v>
      </c>
      <c r="J54" s="10" t="s">
        <v>44</v>
      </c>
      <c r="K54" s="10" t="s">
        <v>44</v>
      </c>
    </row>
    <row r="55" spans="1:11" ht="15.95" customHeight="1" x14ac:dyDescent="0.25">
      <c r="A55" s="7">
        <v>32</v>
      </c>
      <c r="B55" s="8" t="s">
        <v>100</v>
      </c>
      <c r="C55" s="7" t="s">
        <v>139</v>
      </c>
      <c r="D55" s="7" t="s">
        <v>140</v>
      </c>
      <c r="E55" s="8" t="s">
        <v>41</v>
      </c>
      <c r="F55" s="8" t="s">
        <v>42</v>
      </c>
      <c r="G55" s="8" t="s">
        <v>43</v>
      </c>
      <c r="H55" s="9">
        <v>46223.665972222218</v>
      </c>
      <c r="I55" s="9">
        <v>46226.943749999999</v>
      </c>
      <c r="J55" s="10" t="s">
        <v>44</v>
      </c>
      <c r="K55" s="10" t="s">
        <v>44</v>
      </c>
    </row>
    <row r="56" spans="1:11" ht="15.95" customHeight="1" x14ac:dyDescent="0.25">
      <c r="A56" s="7">
        <v>33</v>
      </c>
      <c r="B56" s="8" t="s">
        <v>100</v>
      </c>
      <c r="C56" s="7" t="s">
        <v>141</v>
      </c>
      <c r="D56" s="7" t="s">
        <v>142</v>
      </c>
      <c r="E56" s="8" t="s">
        <v>41</v>
      </c>
      <c r="F56" s="8" t="s">
        <v>42</v>
      </c>
      <c r="G56" s="8" t="s">
        <v>43</v>
      </c>
      <c r="H56" s="9">
        <v>46223.665972222218</v>
      </c>
      <c r="I56" s="9">
        <v>46228.651388888888</v>
      </c>
      <c r="J56" s="10" t="s">
        <v>44</v>
      </c>
      <c r="K56" s="10" t="s">
        <v>44</v>
      </c>
    </row>
    <row r="57" spans="1:11" ht="15.95" customHeight="1" x14ac:dyDescent="0.25">
      <c r="A57" s="7">
        <v>34</v>
      </c>
      <c r="B57" s="8" t="s">
        <v>100</v>
      </c>
      <c r="C57" s="7" t="s">
        <v>143</v>
      </c>
      <c r="D57" s="7" t="s">
        <v>144</v>
      </c>
      <c r="E57" s="8" t="s">
        <v>145</v>
      </c>
      <c r="F57" s="8" t="s">
        <v>52</v>
      </c>
      <c r="G57" s="8" t="s">
        <v>43</v>
      </c>
      <c r="H57" s="9">
        <v>46224.658333333333</v>
      </c>
      <c r="I57" s="9">
        <v>46227.519444444442</v>
      </c>
      <c r="J57" s="10" t="s">
        <v>44</v>
      </c>
      <c r="K57" s="10" t="s">
        <v>44</v>
      </c>
    </row>
    <row r="58" spans="1:11" ht="15.95" customHeight="1" x14ac:dyDescent="0.25">
      <c r="A58" s="7">
        <v>35</v>
      </c>
      <c r="B58" s="8" t="s">
        <v>100</v>
      </c>
      <c r="C58" s="7" t="s">
        <v>146</v>
      </c>
      <c r="D58" s="7" t="s">
        <v>147</v>
      </c>
      <c r="E58" s="8" t="s">
        <v>145</v>
      </c>
      <c r="F58" s="8" t="s">
        <v>52</v>
      </c>
      <c r="G58" s="8" t="s">
        <v>43</v>
      </c>
      <c r="H58" s="9">
        <v>46224.65902777778</v>
      </c>
      <c r="I58" s="9">
        <v>46226.79791666667</v>
      </c>
      <c r="J58" s="10" t="s">
        <v>44</v>
      </c>
      <c r="K58" s="10" t="s">
        <v>44</v>
      </c>
    </row>
    <row r="59" spans="1:11" ht="15.95" customHeight="1" x14ac:dyDescent="0.25">
      <c r="A59" s="7">
        <v>36</v>
      </c>
      <c r="B59" s="8" t="s">
        <v>100</v>
      </c>
      <c r="C59" s="7" t="s">
        <v>148</v>
      </c>
      <c r="D59" s="7" t="s">
        <v>149</v>
      </c>
      <c r="E59" s="8" t="s">
        <v>150</v>
      </c>
      <c r="F59" s="8" t="s">
        <v>42</v>
      </c>
      <c r="G59" s="8" t="s">
        <v>43</v>
      </c>
      <c r="H59" s="9">
        <v>46226.67291666667</v>
      </c>
      <c r="I59" s="9">
        <v>46228.811805555553</v>
      </c>
      <c r="J59" s="10" t="s">
        <v>44</v>
      </c>
      <c r="K59" s="10" t="s">
        <v>44</v>
      </c>
    </row>
    <row r="60" spans="1:11" ht="15.95" customHeight="1" x14ac:dyDescent="0.25">
      <c r="A60" s="7">
        <v>37</v>
      </c>
      <c r="B60" s="8" t="s">
        <v>100</v>
      </c>
      <c r="C60" s="7" t="s">
        <v>151</v>
      </c>
      <c r="D60" s="7" t="s">
        <v>152</v>
      </c>
      <c r="E60" s="8" t="s">
        <v>153</v>
      </c>
      <c r="F60" s="8" t="s">
        <v>52</v>
      </c>
      <c r="G60" s="8" t="s">
        <v>43</v>
      </c>
      <c r="H60" s="9">
        <v>46227.525694444441</v>
      </c>
      <c r="I60" s="9">
        <v>46231.706944444442</v>
      </c>
      <c r="J60" s="10" t="s">
        <v>44</v>
      </c>
      <c r="K60" s="10" t="s">
        <v>44</v>
      </c>
    </row>
    <row r="61" spans="1:11" ht="15.95" customHeight="1" x14ac:dyDescent="0.25">
      <c r="A61" s="7">
        <v>38</v>
      </c>
      <c r="B61" s="8" t="s">
        <v>100</v>
      </c>
      <c r="C61" s="7" t="s">
        <v>154</v>
      </c>
      <c r="D61" s="7" t="s">
        <v>155</v>
      </c>
      <c r="E61" s="8" t="s">
        <v>156</v>
      </c>
      <c r="F61" s="8" t="s">
        <v>157</v>
      </c>
      <c r="G61" s="8" t="s">
        <v>43</v>
      </c>
      <c r="H61" s="9">
        <v>46227.634722222218</v>
      </c>
      <c r="I61" s="9">
        <v>46228.484722222223</v>
      </c>
      <c r="J61" s="10" t="s">
        <v>44</v>
      </c>
      <c r="K61" s="10" t="s">
        <v>44</v>
      </c>
    </row>
    <row r="62" spans="1:11" ht="15.95" customHeight="1" x14ac:dyDescent="0.25">
      <c r="A62" s="7">
        <v>39</v>
      </c>
      <c r="B62" s="8" t="s">
        <v>100</v>
      </c>
      <c r="C62" s="7" t="s">
        <v>158</v>
      </c>
      <c r="D62" s="7" t="s">
        <v>159</v>
      </c>
      <c r="E62" s="8" t="s">
        <v>153</v>
      </c>
      <c r="F62" s="8" t="s">
        <v>52</v>
      </c>
      <c r="G62" s="8" t="s">
        <v>43</v>
      </c>
      <c r="H62" s="9">
        <v>46227.693749999999</v>
      </c>
      <c r="I62" s="9">
        <v>46231.786805555559</v>
      </c>
      <c r="J62" s="10" t="s">
        <v>44</v>
      </c>
      <c r="K62" s="10" t="s">
        <v>44</v>
      </c>
    </row>
    <row r="63" spans="1:11" ht="15.95" customHeight="1" x14ac:dyDescent="0.25">
      <c r="A63" s="7">
        <v>40</v>
      </c>
      <c r="B63" s="8" t="s">
        <v>100</v>
      </c>
      <c r="C63" s="7" t="s">
        <v>160</v>
      </c>
      <c r="D63" s="7" t="s">
        <v>161</v>
      </c>
      <c r="E63" s="8" t="s">
        <v>162</v>
      </c>
      <c r="F63" s="8" t="s">
        <v>157</v>
      </c>
      <c r="G63" s="8" t="s">
        <v>43</v>
      </c>
      <c r="H63" s="9">
        <v>46228.81527777778</v>
      </c>
      <c r="I63" s="9">
        <v>46231.552083333343</v>
      </c>
      <c r="J63" s="10" t="s">
        <v>44</v>
      </c>
      <c r="K63" s="10" t="s">
        <v>44</v>
      </c>
    </row>
    <row r="64" spans="1:11" ht="15.95" customHeight="1" x14ac:dyDescent="0.25">
      <c r="A64" s="7">
        <v>41</v>
      </c>
      <c r="B64" s="8" t="s">
        <v>100</v>
      </c>
      <c r="C64" s="7" t="s">
        <v>163</v>
      </c>
      <c r="D64" s="7" t="s">
        <v>164</v>
      </c>
      <c r="E64" s="8" t="s">
        <v>165</v>
      </c>
      <c r="F64" s="8" t="s">
        <v>60</v>
      </c>
      <c r="G64" s="8" t="s">
        <v>43</v>
      </c>
      <c r="H64" s="9">
        <v>46230.572222222218</v>
      </c>
      <c r="I64" s="9">
        <v>46233.659722222219</v>
      </c>
      <c r="J64" s="10" t="s">
        <v>44</v>
      </c>
      <c r="K64" s="10" t="s">
        <v>44</v>
      </c>
    </row>
    <row r="65" spans="1:11" ht="15.95" customHeight="1" x14ac:dyDescent="0.25">
      <c r="A65" s="7">
        <v>42</v>
      </c>
      <c r="B65" s="8" t="s">
        <v>100</v>
      </c>
      <c r="C65" s="7" t="s">
        <v>166</v>
      </c>
      <c r="D65" s="7" t="s">
        <v>161</v>
      </c>
      <c r="E65" s="8" t="s">
        <v>162</v>
      </c>
      <c r="F65" s="8" t="s">
        <v>157</v>
      </c>
      <c r="G65" s="8" t="s">
        <v>43</v>
      </c>
      <c r="H65" s="9">
        <v>46232.563888888893</v>
      </c>
      <c r="I65" s="9">
        <v>46232.648611111108</v>
      </c>
      <c r="J65" s="10" t="s">
        <v>44</v>
      </c>
      <c r="K65" s="10" t="s">
        <v>44</v>
      </c>
    </row>
    <row r="66" spans="1:11" ht="15.95" customHeight="1" x14ac:dyDescent="0.25">
      <c r="A66" s="7">
        <v>43</v>
      </c>
      <c r="B66" s="8" t="s">
        <v>100</v>
      </c>
      <c r="C66" s="7" t="s">
        <v>167</v>
      </c>
      <c r="D66" s="7" t="s">
        <v>168</v>
      </c>
      <c r="E66" s="8" t="s">
        <v>169</v>
      </c>
      <c r="F66" s="8" t="s">
        <v>157</v>
      </c>
      <c r="G66" s="8" t="s">
        <v>43</v>
      </c>
      <c r="H66" s="9">
        <v>46233.45208333333</v>
      </c>
      <c r="I66" s="9">
        <v>46233.55972222222</v>
      </c>
      <c r="J66" s="10" t="s">
        <v>44</v>
      </c>
      <c r="K66" s="10" t="s">
        <v>44</v>
      </c>
    </row>
    <row r="67" spans="1:11" ht="15.95" customHeight="1" x14ac:dyDescent="0.25">
      <c r="A67" s="7">
        <v>44</v>
      </c>
      <c r="B67" s="8" t="s">
        <v>100</v>
      </c>
      <c r="C67" s="7" t="s">
        <v>170</v>
      </c>
      <c r="D67" s="7" t="s">
        <v>171</v>
      </c>
      <c r="E67" s="8" t="s">
        <v>172</v>
      </c>
      <c r="F67" s="8" t="s">
        <v>157</v>
      </c>
      <c r="G67" s="8" t="s">
        <v>43</v>
      </c>
      <c r="H67" s="9">
        <v>46233.481944444437</v>
      </c>
      <c r="I67" s="9">
        <v>46233.570138888892</v>
      </c>
      <c r="J67" s="10" t="s">
        <v>44</v>
      </c>
      <c r="K67" s="10" t="s">
        <v>44</v>
      </c>
    </row>
    <row r="68" spans="1:11" ht="15.95" customHeight="1" x14ac:dyDescent="0.25">
      <c r="A68" s="7">
        <v>45</v>
      </c>
      <c r="B68" s="8" t="s">
        <v>100</v>
      </c>
      <c r="C68" s="7" t="s">
        <v>173</v>
      </c>
      <c r="D68" s="7" t="s">
        <v>174</v>
      </c>
      <c r="E68" s="8" t="s">
        <v>112</v>
      </c>
      <c r="F68" s="8" t="s">
        <v>157</v>
      </c>
      <c r="G68" s="8" t="s">
        <v>43</v>
      </c>
      <c r="H68" s="9">
        <v>46233.584027777782</v>
      </c>
      <c r="I68" s="9">
        <v>46233.645833333343</v>
      </c>
      <c r="J68" s="10" t="s">
        <v>44</v>
      </c>
      <c r="K68" s="10" t="s">
        <v>44</v>
      </c>
    </row>
    <row r="69" spans="1:11" ht="15.95" customHeight="1" x14ac:dyDescent="0.25">
      <c r="A69" s="7">
        <v>46</v>
      </c>
      <c r="B69" s="8" t="s">
        <v>100</v>
      </c>
      <c r="C69" s="7" t="s">
        <v>175</v>
      </c>
      <c r="D69" s="7" t="s">
        <v>176</v>
      </c>
      <c r="E69" s="8" t="s">
        <v>177</v>
      </c>
      <c r="F69" s="8" t="s">
        <v>157</v>
      </c>
      <c r="G69" s="8" t="s">
        <v>43</v>
      </c>
      <c r="H69" s="9">
        <v>46234.417361111111</v>
      </c>
      <c r="I69" s="9">
        <v>46234.527083333327</v>
      </c>
      <c r="J69" s="10" t="s">
        <v>44</v>
      </c>
      <c r="K69" s="10" t="s">
        <v>44</v>
      </c>
    </row>
    <row r="70" spans="1:11" ht="15.95" customHeight="1" x14ac:dyDescent="0.25">
      <c r="A70" s="7">
        <v>47</v>
      </c>
      <c r="B70" s="8" t="s">
        <v>100</v>
      </c>
      <c r="C70" s="7" t="s">
        <v>178</v>
      </c>
      <c r="D70" s="7" t="s">
        <v>179</v>
      </c>
      <c r="E70" s="8" t="s">
        <v>180</v>
      </c>
      <c r="F70" s="8" t="s">
        <v>157</v>
      </c>
      <c r="G70" s="8" t="s">
        <v>43</v>
      </c>
      <c r="H70" s="9">
        <v>46234.569444444453</v>
      </c>
      <c r="I70" s="9">
        <v>46234.668749999997</v>
      </c>
      <c r="J70" s="10" t="s">
        <v>44</v>
      </c>
      <c r="K70" s="10" t="s">
        <v>44</v>
      </c>
    </row>
    <row r="71" spans="1:11" ht="20.100000000000001" customHeight="1" x14ac:dyDescent="0.25">
      <c r="A71" s="28" t="s">
        <v>181</v>
      </c>
      <c r="B71" s="29"/>
      <c r="C71" s="29"/>
      <c r="D71" s="29"/>
      <c r="E71" s="29"/>
      <c r="F71" s="29"/>
      <c r="G71" s="29"/>
      <c r="H71" s="29"/>
      <c r="I71" s="29"/>
      <c r="J71" s="29"/>
      <c r="K71" s="29"/>
    </row>
    <row r="72" spans="1:11" ht="15.95" customHeight="1" x14ac:dyDescent="0.25">
      <c r="A72" s="11">
        <v>48</v>
      </c>
      <c r="B72" s="12" t="s">
        <v>182</v>
      </c>
      <c r="C72" s="11" t="s">
        <v>183</v>
      </c>
      <c r="D72" s="11" t="s">
        <v>184</v>
      </c>
      <c r="E72" s="12" t="s">
        <v>185</v>
      </c>
      <c r="F72" s="12" t="s">
        <v>60</v>
      </c>
      <c r="G72" s="12" t="s">
        <v>43</v>
      </c>
      <c r="H72" s="13">
        <v>46207.447916666657</v>
      </c>
      <c r="I72" s="12"/>
      <c r="J72" s="14" t="s">
        <v>44</v>
      </c>
      <c r="K72" s="11"/>
    </row>
    <row r="73" spans="1:11" ht="15.95" customHeight="1" x14ac:dyDescent="0.25">
      <c r="A73" s="11">
        <v>49</v>
      </c>
      <c r="B73" s="12" t="s">
        <v>182</v>
      </c>
      <c r="C73" s="11" t="s">
        <v>186</v>
      </c>
      <c r="D73" s="11" t="s">
        <v>187</v>
      </c>
      <c r="E73" s="12" t="s">
        <v>188</v>
      </c>
      <c r="F73" s="12" t="s">
        <v>48</v>
      </c>
      <c r="G73" s="12" t="s">
        <v>189</v>
      </c>
      <c r="H73" s="13">
        <v>46221.628472222219</v>
      </c>
      <c r="I73" s="12"/>
      <c r="J73" s="14" t="s">
        <v>44</v>
      </c>
      <c r="K73" s="11"/>
    </row>
    <row r="74" spans="1:11" ht="15.95" customHeight="1" x14ac:dyDescent="0.25">
      <c r="A74" s="11">
        <v>50</v>
      </c>
      <c r="B74" s="12" t="s">
        <v>182</v>
      </c>
      <c r="C74" s="11" t="s">
        <v>190</v>
      </c>
      <c r="D74" s="11" t="s">
        <v>191</v>
      </c>
      <c r="E74" s="12" t="s">
        <v>138</v>
      </c>
      <c r="F74" s="12" t="s">
        <v>157</v>
      </c>
      <c r="G74" s="12" t="s">
        <v>192</v>
      </c>
      <c r="H74" s="13">
        <v>46221.665277777778</v>
      </c>
      <c r="I74" s="12"/>
      <c r="J74" s="14" t="s">
        <v>44</v>
      </c>
      <c r="K74" s="11"/>
    </row>
    <row r="75" spans="1:11" ht="15.95" customHeight="1" x14ac:dyDescent="0.25">
      <c r="A75" s="11">
        <v>51</v>
      </c>
      <c r="B75" s="12" t="s">
        <v>182</v>
      </c>
      <c r="C75" s="11" t="s">
        <v>193</v>
      </c>
      <c r="D75" s="11" t="s">
        <v>194</v>
      </c>
      <c r="E75" s="12" t="s">
        <v>145</v>
      </c>
      <c r="F75" s="12" t="s">
        <v>52</v>
      </c>
      <c r="G75" s="12" t="s">
        <v>189</v>
      </c>
      <c r="H75" s="13">
        <v>46224.663194444453</v>
      </c>
      <c r="I75" s="12"/>
      <c r="J75" s="14" t="s">
        <v>44</v>
      </c>
      <c r="K75" s="11"/>
    </row>
    <row r="76" spans="1:11" ht="15.95" customHeight="1" x14ac:dyDescent="0.25">
      <c r="A76" s="11">
        <v>52</v>
      </c>
      <c r="B76" s="12" t="s">
        <v>182</v>
      </c>
      <c r="C76" s="11" t="s">
        <v>195</v>
      </c>
      <c r="D76" s="11" t="s">
        <v>196</v>
      </c>
      <c r="E76" s="12" t="s">
        <v>145</v>
      </c>
      <c r="F76" s="12" t="s">
        <v>52</v>
      </c>
      <c r="G76" s="12" t="s">
        <v>189</v>
      </c>
      <c r="H76" s="13">
        <v>46224.724999999999</v>
      </c>
      <c r="I76" s="12"/>
      <c r="J76" s="14" t="s">
        <v>44</v>
      </c>
      <c r="K76" s="11"/>
    </row>
    <row r="77" spans="1:11" ht="15.95" customHeight="1" x14ac:dyDescent="0.25">
      <c r="A77" s="11">
        <v>53</v>
      </c>
      <c r="B77" s="12" t="s">
        <v>182</v>
      </c>
      <c r="C77" s="11" t="s">
        <v>197</v>
      </c>
      <c r="D77" s="11" t="s">
        <v>198</v>
      </c>
      <c r="E77" s="12" t="s">
        <v>150</v>
      </c>
      <c r="F77" s="12" t="s">
        <v>42</v>
      </c>
      <c r="G77" s="12" t="s">
        <v>43</v>
      </c>
      <c r="H77" s="13">
        <v>46231.631249999999</v>
      </c>
      <c r="I77" s="12"/>
      <c r="J77" s="14" t="s">
        <v>44</v>
      </c>
      <c r="K77" s="11"/>
    </row>
    <row r="78" spans="1:11" ht="15.95" customHeight="1" x14ac:dyDescent="0.25">
      <c r="A78" s="11">
        <v>54</v>
      </c>
      <c r="B78" s="12" t="s">
        <v>182</v>
      </c>
      <c r="C78" s="11" t="s">
        <v>199</v>
      </c>
      <c r="D78" s="11" t="s">
        <v>200</v>
      </c>
      <c r="E78" s="12" t="s">
        <v>41</v>
      </c>
      <c r="F78" s="12" t="s">
        <v>42</v>
      </c>
      <c r="G78" s="12" t="s">
        <v>189</v>
      </c>
      <c r="H78" s="13">
        <v>46232.661111111112</v>
      </c>
      <c r="I78" s="12"/>
      <c r="J78" s="14" t="s">
        <v>44</v>
      </c>
      <c r="K78" s="11"/>
    </row>
    <row r="79" spans="1:11" ht="24" customHeight="1" x14ac:dyDescent="0.25">
      <c r="A79" s="35" t="s">
        <v>201</v>
      </c>
      <c r="B79" s="21"/>
      <c r="C79" s="21"/>
      <c r="D79" s="21"/>
      <c r="E79" s="21"/>
      <c r="F79" s="21"/>
      <c r="G79" s="21"/>
      <c r="H79" s="21"/>
      <c r="I79" s="21"/>
      <c r="J79" s="15">
        <f>COUNTIF(J22:J78,"YES")</f>
        <v>36</v>
      </c>
      <c r="K79" s="15">
        <f>COUNTIF(K22:K78,"YES")</f>
        <v>47</v>
      </c>
    </row>
    <row r="81" spans="1:11" ht="21.95" customHeight="1" x14ac:dyDescent="0.25">
      <c r="A81" s="34" t="s">
        <v>202</v>
      </c>
      <c r="B81" s="27"/>
      <c r="C81" s="27"/>
      <c r="D81" s="27"/>
      <c r="E81" s="27"/>
      <c r="F81" s="27"/>
      <c r="G81" s="27"/>
      <c r="H81" s="27"/>
      <c r="I81" s="27"/>
      <c r="J81" s="27"/>
      <c r="K81" s="27"/>
    </row>
  </sheetData>
  <autoFilter ref="A21:K78"/>
  <mergeCells count="31">
    <mergeCell ref="A81:K81"/>
    <mergeCell ref="A79:I79"/>
    <mergeCell ref="A9:K9"/>
    <mergeCell ref="C3:G3"/>
    <mergeCell ref="A71:K71"/>
    <mergeCell ref="G14:K14"/>
    <mergeCell ref="A14:E14"/>
    <mergeCell ref="A4:B4"/>
    <mergeCell ref="A22:K22"/>
    <mergeCell ref="C7:G7"/>
    <mergeCell ref="A20:K20"/>
    <mergeCell ref="A10:E10"/>
    <mergeCell ref="G16:K16"/>
    <mergeCell ref="A16:E16"/>
    <mergeCell ref="A41:K41"/>
    <mergeCell ref="G10:K10"/>
    <mergeCell ref="A3:B3"/>
    <mergeCell ref="A12:E12"/>
    <mergeCell ref="A18:K18"/>
    <mergeCell ref="G15:K15"/>
    <mergeCell ref="A5:B5"/>
    <mergeCell ref="C5:G5"/>
    <mergeCell ref="A1:K1"/>
    <mergeCell ref="A6:B6"/>
    <mergeCell ref="C4:G4"/>
    <mergeCell ref="A7:B7"/>
    <mergeCell ref="G12:K12"/>
    <mergeCell ref="C6:G6"/>
    <mergeCell ref="A15:E15"/>
    <mergeCell ref="A11:E11"/>
    <mergeCell ref="G11:K11"/>
  </mergeCells>
  <printOptions horizontalCentered="1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 Allocation Proof</vt:lpstr>
      <vt:lpstr>'SR Allocation Proof'!Print_Titles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Chavan</cp:lastModifiedBy>
  <dcterms:created xsi:type="dcterms:W3CDTF">2026-09-01T11:39:36Z</dcterms:created>
  <dcterms:modified xsi:type="dcterms:W3CDTF">2026-09-01T11:41:08Z</dcterms:modified>
</cp:coreProperties>
</file>